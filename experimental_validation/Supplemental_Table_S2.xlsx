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84489e0a4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Ct" sheetId="1" r:id="Rf7e7455ad4c7441a"/>
    <x:sheet xmlns:r="http://schemas.openxmlformats.org/officeDocument/2006/relationships" name="Processed_Summary" sheetId="2" r:id="R998e1ad5a1d54d86"/>
    <x:sheet xmlns:r="http://schemas.openxmlformats.org/officeDocument/2006/relationships" name="README" sheetId="3" r:id="Re98c92b0693644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sz val="10"/>
      <x:color rgb="FF24313D"/>
      <x:name val="Carlito"/>
    </x:font>
    <x:font>
      <x:b/>
      <x:sz val="10"/>
      <x:color rgb="FFFFFFFF"/>
      <x:name val="Carlito"/>
    </x:font>
    <x:font>
      <x:b/>
      <x:sz val="10"/>
      <x:color rgb="FF234E70"/>
      <x:name val="Carlito"/>
    </x:font>
    <x:font>
      <x:b/>
      <x:sz val="11"/>
      <x:color rgb="FF234E70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E70"/>
      </x:patternFill>
    </x:fill>
  </x:fills>
  <x:borders count="9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right style="thin">
        <x:color rgb="FFCDD6DF"/>
      </x:right>
      <x:bottom style="thin">
        <x:color rgb="FFCDD6DF"/>
      </x:bottom>
    </x:border>
    <x:border>
      <x:left style="thin">
        <x:color rgb="FFCDD6DF"/>
      </x:left>
      <x:right style="thin">
        <x:color rgb="FFCDD6DF"/>
      </x:right>
      <x:bottom style="thin">
        <x:color rgb="FFCDD6DF"/>
      </x:bottom>
    </x:border>
    <x:border>
      <x:left style="thin">
        <x:color rgb="FFCDD6DF"/>
      </x:left>
      <x:bottom style="thin">
        <x:color rgb="FFCDD6DF"/>
      </x:bottom>
    </x:border>
    <x:border>
      <x:top style="thin">
        <x:color rgb="FFCDD6DF"/>
      </x:top>
      <x:bottom style="thin">
        <x:color rgb="FFCDD6DF"/>
      </x:bottom>
    </x:border>
    <x:border>
      <x:bottom style="thin">
        <x:color rgb="FFCDD6DF"/>
      </x:bottom>
    </x:border>
    <x:border>
      <x:left style="thin">
        <x:color rgb="FF234E70"/>
      </x:left>
      <x:top style="thin">
        <x:color rgb="FF234E70"/>
      </x:top>
      <x:bottom style="thin">
        <x:color rgb="FF234E70"/>
      </x:bottom>
    </x:border>
    <x:border>
      <x:right style="thin">
        <x:color rgb="FF234E70"/>
      </x:right>
      <x:top style="thin">
        <x:color rgb="FF234E70"/>
      </x:top>
      <x:bottom style="thin">
        <x:color rgb="FF234E7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lef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A5200"/>
      </x:font>
      <x:fill>
        <x:patternFill patternType="solid">
          <x:bgColor rgb="FFFFF4D6"/>
        </x:patternFill>
      </x:fill>
    </x:dxf>
    <x:dxf>
      <x:font>
        <x:color rgb="FF9B2C2C"/>
      </x:font>
      <x:fill>
        <x:patternFill patternType="solid">
          <x:bgColor rgb="FFFB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696331b92c41f5" /><Relationship Type="http://schemas.openxmlformats.org/officeDocument/2006/relationships/theme" Target="/xl/theme/theme1.xml" Id="Rdf073ee331f84854" /><Relationship Type="http://schemas.openxmlformats.org/officeDocument/2006/relationships/sharedStrings" Target="/xl/sharedStrings.xml" Id="Rdf18201ad81444f1" /><Relationship Type="http://schemas.openxmlformats.org/officeDocument/2006/relationships/worksheet" Target="/xl/worksheets/sheet1.xml" Id="Rf7e7455ad4c7441a" /><Relationship Type="http://schemas.openxmlformats.org/officeDocument/2006/relationships/worksheet" Target="/xl/worksheets/sheet2.xml" Id="R998e1ad5a1d54d86" /><Relationship Type="http://schemas.openxmlformats.org/officeDocument/2006/relationships/worksheet" Target="/xl/worksheets/sheet3.xml" Id="Re98c92b069364450" /></Relationships>
</file>

<file path=xl/tables/table1.xml><?xml version="1.0" encoding="utf-8"?>
<x:table xmlns:x="http://schemas.openxmlformats.org/spreadsheetml/2006/main" id="1" name="SupplementalTableS2RawCt" displayName="SupplementalTableS2RawCt" ref="A1:I73" headerRowCount="1" totalsRowCount="0" totalsRowShown="0">
  <x:autoFilter ref="A1:I73"/>
  <x:tableColumns count="9">
    <x:tableColumn id="1" name="Target"/>
    <x:tableColumn id="2" name="Sample"/>
    <x:tableColumn id="3" name="Reference gene"/>
    <x:tableColumn id="4" name="Target Ct 1"/>
    <x:tableColumn id="5" name="Target Ct 2"/>
    <x:tableColumn id="6" name="Target Ct 3"/>
    <x:tableColumn id="7" name="Reference Ct 1"/>
    <x:tableColumn id="8" name="Reference Ct 2"/>
    <x:tableColumn id="9" name="Reference Ct 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plementalTableS2Processed" displayName="SupplementalTableS2Processed" ref="A1:L37" headerRowCount="1" totalsRowCount="0" totalsRowShown="0">
  <x:autoFilter ref="A1:L37"/>
  <x:tableColumns count="12">
    <x:tableColumn id="1" name="Target"/>
    <x:tableColumn id="2" name="Biological Replicate Pair"/>
    <x:tableColumn id="3" name="Cellular mean target Ct"/>
    <x:tableColumn id="4" name="Cellular mean reference Ct"/>
    <x:tableColumn id="5" name="EV mean target Ct"/>
    <x:tableColumn id="6" name="EV mean reference Ct"/>
    <x:tableColumn id="7" name="ΔCt_cellular"/>
    <x:tableColumn id="8" name="ΔCt_EV"/>
    <x:tableColumn id="9" name="ΔΔCt (EV−Cellular)"/>
    <x:tableColumn id="10" name="log₂(EVs/Cellular)"/>
    <x:tableColumn id="11" name="Cellular status"/>
    <x:tableColumn id="12" name="EV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ecbb506b7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b1f617898144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8" t="str">
        <x:v>Target</x:v>
      </x:c>
      <x:c r="B1" s="9" t="str">
        <x:v>Sample</x:v>
      </x:c>
      <x:c r="C1" s="9" t="str">
        <x:v>Reference gene</x:v>
      </x:c>
      <x:c r="D1" s="9" t="str">
        <x:v>Target Ct 1</x:v>
      </x:c>
      <x:c r="E1" s="9" t="str">
        <x:v>Target Ct 2</x:v>
      </x:c>
      <x:c r="F1" s="9" t="str">
        <x:v>Target Ct 3</x:v>
      </x:c>
      <x:c r="G1" s="9" t="str">
        <x:v>Reference Ct 1</x:v>
      </x:c>
      <x:c r="H1" s="9" t="str">
        <x:v>Reference Ct 2</x:v>
      </x:c>
      <x:c r="I1" s="10" t="str">
        <x:v>Reference Ct 3</x:v>
      </x:c>
    </x:row>
    <x:row r="2" ht="20" customHeight="1">
      <x:c r="A2" s="13" t="str">
        <x:v>hsa_circ_0000788</x:v>
      </x:c>
      <x:c r="B2" s="13" t="str">
        <x:v>Cellular 1</x:v>
      </x:c>
      <x:c r="C2" s="13" t="str">
        <x:v>GAPDH</x:v>
      </x:c>
      <x:c r="D2" s="14" t="n">
        <x:v>34.3327</x:v>
      </x:c>
      <x:c r="E2" s="14" t="n">
        <x:v>35.7594</x:v>
      </x:c>
      <x:c r="F2" s="14" t="n">
        <x:v>34.1189</x:v>
      </x:c>
      <x:c r="G2" s="14" t="n">
        <x:v>19.0797</x:v>
      </x:c>
      <x:c r="H2" s="14" t="n">
        <x:v>19.0847</x:v>
      </x:c>
      <x:c r="I2" s="14" t="n">
        <x:v>19.0915</x:v>
      </x:c>
    </x:row>
    <x:row r="3" ht="20" customHeight="1">
      <x:c r="A3" s="13" t="str">
        <x:v>hsa_circ_0000788</x:v>
      </x:c>
      <x:c r="B3" s="13" t="str">
        <x:v>Cellular 2</x:v>
      </x:c>
      <x:c r="C3" s="13" t="str">
        <x:v>GAPDH</x:v>
      </x:c>
      <x:c r="D3" s="14" t="n">
        <x:v>34.147</x:v>
      </x:c>
      <x:c r="E3" s="14" t="n">
        <x:v>34.6908</x:v>
      </x:c>
      <x:c r="F3" s="14" t="n">
        <x:v>34.6876</x:v>
      </x:c>
      <x:c r="G3" s="14" t="n">
        <x:v>19.0656</x:v>
      </x:c>
      <x:c r="H3" s="14" t="n">
        <x:v>19.0621</x:v>
      </x:c>
      <x:c r="I3" s="14" t="n">
        <x:v>19.0734</x:v>
      </x:c>
    </x:row>
    <x:row r="4" ht="20" customHeight="1">
      <x:c r="A4" s="13" t="str">
        <x:v>hsa_circ_0000788</x:v>
      </x:c>
      <x:c r="B4" s="13" t="str">
        <x:v>Cellular 3</x:v>
      </x:c>
      <x:c r="C4" s="13" t="str">
        <x:v>GAPDH</x:v>
      </x:c>
      <x:c r="D4" s="14" t="n">
        <x:v>34.6425</x:v>
      </x:c>
      <x:c r="E4" s="14" t="n">
        <x:v>33.8063</x:v>
      </x:c>
      <x:c r="F4" s="14" t="n">
        <x:v>34.5568</x:v>
      </x:c>
      <x:c r="G4" s="14" t="n">
        <x:v>19.0713</x:v>
      </x:c>
      <x:c r="H4" s="14" t="n">
        <x:v>19.0099</x:v>
      </x:c>
      <x:c r="I4" s="14" t="n">
        <x:v>19.0413</x:v>
      </x:c>
    </x:row>
    <x:row r="5" ht="20" customHeight="1">
      <x:c r="A5" s="13" t="str">
        <x:v>hsa_circ_0000788</x:v>
      </x:c>
      <x:c r="B5" s="13" t="str">
        <x:v>EV 1</x:v>
      </x:c>
      <x:c r="C5" s="13" t="str">
        <x:v>hsa-miR-16-5p</x:v>
      </x:c>
      <x:c r="D5" s="14" t="n">
        <x:v>30.017</x:v>
      </x:c>
      <x:c r="E5" s="14" t="n">
        <x:v>30.4413</x:v>
      </x:c>
      <x:c r="F5" s="14" t="n">
        <x:v>30.416</x:v>
      </x:c>
      <x:c r="G5" s="14" t="n">
        <x:v>26.1018</x:v>
      </x:c>
      <x:c r="H5" s="14" t="n">
        <x:v>26.1164</x:v>
      </x:c>
      <x:c r="I5" s="14" t="n">
        <x:v>26.1557</x:v>
      </x:c>
    </x:row>
    <x:row r="6" ht="20" customHeight="1">
      <x:c r="A6" s="13" t="str">
        <x:v>hsa_circ_0000788</x:v>
      </x:c>
      <x:c r="B6" s="13" t="str">
        <x:v>EV 2</x:v>
      </x:c>
      <x:c r="C6" s="13" t="str">
        <x:v>hsa-miR-16-5p</x:v>
      </x:c>
      <x:c r="D6" s="14" t="n">
        <x:v>30.3003</x:v>
      </x:c>
      <x:c r="E6" s="14" t="n">
        <x:v>30.1366</x:v>
      </x:c>
      <x:c r="F6" s="14" t="n">
        <x:v>30.1022</x:v>
      </x:c>
      <x:c r="G6" s="14" t="n">
        <x:v>26.0804</x:v>
      </x:c>
      <x:c r="H6" s="14" t="n">
        <x:v>26.0154</x:v>
      </x:c>
      <x:c r="I6" s="14" t="n">
        <x:v>26.0967</x:v>
      </x:c>
    </x:row>
    <x:row r="7" ht="20" customHeight="1">
      <x:c r="A7" s="13" t="str">
        <x:v>hsa_circ_0000788</x:v>
      </x:c>
      <x:c r="B7" s="13" t="str">
        <x:v>EV 3</x:v>
      </x:c>
      <x:c r="C7" s="13" t="str">
        <x:v>hsa-miR-16-5p</x:v>
      </x:c>
      <x:c r="D7" s="14" t="n">
        <x:v>30.0041</x:v>
      </x:c>
      <x:c r="E7" s="14" t="n">
        <x:v>30.3177</x:v>
      </x:c>
      <x:c r="F7" s="14" t="n">
        <x:v>30.2659</x:v>
      </x:c>
      <x:c r="G7" s="14" t="n">
        <x:v>26.1162</x:v>
      </x:c>
      <x:c r="H7" s="14" t="n">
        <x:v>26.1092</x:v>
      </x:c>
      <x:c r="I7" s="14" t="n">
        <x:v>26.0082</x:v>
      </x:c>
    </x:row>
    <x:row r="8" ht="20" customHeight="1">
      <x:c r="A8" s="13" t="str">
        <x:v>hsa_circ_0001336</x:v>
      </x:c>
      <x:c r="B8" s="13" t="str">
        <x:v>Cellular 1</x:v>
      </x:c>
      <x:c r="C8" s="13" t="str">
        <x:v>GAPDH</x:v>
      </x:c>
      <x:c r="D8" s="14" t="str">
        <x:v>ND</x:v>
      </x:c>
      <x:c r="E8" s="14" t="str">
        <x:v>ND</x:v>
      </x:c>
      <x:c r="F8" s="14" t="n">
        <x:v>32.6421</x:v>
      </x:c>
      <x:c r="G8" s="14" t="n">
        <x:v>19.0797</x:v>
      </x:c>
      <x:c r="H8" s="14" t="n">
        <x:v>19.0847</x:v>
      </x:c>
      <x:c r="I8" s="14" t="n">
        <x:v>19.0915</x:v>
      </x:c>
    </x:row>
    <x:row r="9" ht="20" customHeight="1">
      <x:c r="A9" s="13" t="str">
        <x:v>hsa_circ_0001336</x:v>
      </x:c>
      <x:c r="B9" s="13" t="str">
        <x:v>Cellular 2</x:v>
      </x:c>
      <x:c r="C9" s="13" t="str">
        <x:v>GAPDH</x:v>
      </x:c>
      <x:c r="D9" s="14" t="str">
        <x:v>ND</x:v>
      </x:c>
      <x:c r="E9" s="14" t="str">
        <x:v>ND</x:v>
      </x:c>
      <x:c r="F9" s="14" t="str">
        <x:v>ND</x:v>
      </x:c>
      <x:c r="G9" s="14" t="n">
        <x:v>19.0656</x:v>
      </x:c>
      <x:c r="H9" s="14" t="n">
        <x:v>19.0621</x:v>
      </x:c>
      <x:c r="I9" s="14" t="n">
        <x:v>19.0734</x:v>
      </x:c>
    </x:row>
    <x:row r="10" ht="20" customHeight="1">
      <x:c r="A10" s="13" t="str">
        <x:v>hsa_circ_0001336</x:v>
      </x:c>
      <x:c r="B10" s="13" t="str">
        <x:v>Cellular 3</x:v>
      </x:c>
      <x:c r="C10" s="13" t="str">
        <x:v>GAPDH</x:v>
      </x:c>
      <x:c r="D10" s="14" t="n">
        <x:v>34.9634</x:v>
      </x:c>
      <x:c r="E10" s="14" t="n">
        <x:v>34.8822</x:v>
      </x:c>
      <x:c r="F10" s="14" t="n">
        <x:v>32.7997</x:v>
      </x:c>
      <x:c r="G10" s="14" t="n">
        <x:v>19.0713</x:v>
      </x:c>
      <x:c r="H10" s="14" t="n">
        <x:v>19.0099</x:v>
      </x:c>
      <x:c r="I10" s="14" t="n">
        <x:v>19.0413</x:v>
      </x:c>
    </x:row>
    <x:row r="11" ht="20" customHeight="1">
      <x:c r="A11" s="13" t="str">
        <x:v>hsa_circ_0001336</x:v>
      </x:c>
      <x:c r="B11" s="13" t="str">
        <x:v>EV 1</x:v>
      </x:c>
      <x:c r="C11" s="13" t="str">
        <x:v>hsa-miR-16-5p</x:v>
      </x:c>
      <x:c r="D11" s="14" t="n">
        <x:v>29.1903</x:v>
      </x:c>
      <x:c r="E11" s="14" t="n">
        <x:v>29.2186</x:v>
      </x:c>
      <x:c r="F11" s="14" t="n">
        <x:v>29.1983</x:v>
      </x:c>
      <x:c r="G11" s="14" t="n">
        <x:v>26.1018</x:v>
      </x:c>
      <x:c r="H11" s="14" t="n">
        <x:v>26.1164</x:v>
      </x:c>
      <x:c r="I11" s="14" t="n">
        <x:v>26.1557</x:v>
      </x:c>
    </x:row>
    <x:row r="12" ht="20" customHeight="1">
      <x:c r="A12" s="13" t="str">
        <x:v>hsa_circ_0001336</x:v>
      </x:c>
      <x:c r="B12" s="13" t="str">
        <x:v>EV 2</x:v>
      </x:c>
      <x:c r="C12" s="13" t="str">
        <x:v>hsa-miR-16-5p</x:v>
      </x:c>
      <x:c r="D12" s="14" t="n">
        <x:v>29.0058</x:v>
      </x:c>
      <x:c r="E12" s="14" t="n">
        <x:v>29.0444</x:v>
      </x:c>
      <x:c r="F12" s="14" t="n">
        <x:v>29.0963</x:v>
      </x:c>
      <x:c r="G12" s="14" t="n">
        <x:v>26.0804</x:v>
      </x:c>
      <x:c r="H12" s="14" t="n">
        <x:v>26.0154</x:v>
      </x:c>
      <x:c r="I12" s="14" t="n">
        <x:v>26.0967</x:v>
      </x:c>
    </x:row>
    <x:row r="13" ht="20" customHeight="1">
      <x:c r="A13" s="13" t="str">
        <x:v>hsa_circ_0001336</x:v>
      </x:c>
      <x:c r="B13" s="13" t="str">
        <x:v>EV 3</x:v>
      </x:c>
      <x:c r="C13" s="13" t="str">
        <x:v>hsa-miR-16-5p</x:v>
      </x:c>
      <x:c r="D13" s="14" t="n">
        <x:v>29.0729</x:v>
      </x:c>
      <x:c r="E13" s="14" t="n">
        <x:v>29.0967</x:v>
      </x:c>
      <x:c r="F13" s="14" t="n">
        <x:v>29.0255</x:v>
      </x:c>
      <x:c r="G13" s="14" t="n">
        <x:v>26.1162</x:v>
      </x:c>
      <x:c r="H13" s="14" t="n">
        <x:v>26.1092</x:v>
      </x:c>
      <x:c r="I13" s="14" t="n">
        <x:v>26.0082</x:v>
      </x:c>
    </x:row>
    <x:row r="14" ht="20" customHeight="1">
      <x:c r="A14" s="13" t="str">
        <x:v>hsa_circ_0001703</x:v>
      </x:c>
      <x:c r="B14" s="13" t="str">
        <x:v>Cellular 1</x:v>
      </x:c>
      <x:c r="C14" s="13" t="str">
        <x:v>GAPDH</x:v>
      </x:c>
      <x:c r="D14" s="14" t="str">
        <x:v>ND</x:v>
      </x:c>
      <x:c r="E14" s="14" t="str">
        <x:v>ND</x:v>
      </x:c>
      <x:c r="F14" s="14" t="str">
        <x:v>ND</x:v>
      </x:c>
      <x:c r="G14" s="14" t="n">
        <x:v>19.0797</x:v>
      </x:c>
      <x:c r="H14" s="14" t="n">
        <x:v>19.0847</x:v>
      </x:c>
      <x:c r="I14" s="14" t="n">
        <x:v>19.0915</x:v>
      </x:c>
    </x:row>
    <x:row r="15" ht="20" customHeight="1">
      <x:c r="A15" s="13" t="str">
        <x:v>hsa_circ_0001703</x:v>
      </x:c>
      <x:c r="B15" s="13" t="str">
        <x:v>Cellular 2</x:v>
      </x:c>
      <x:c r="C15" s="13" t="str">
        <x:v>GAPDH</x:v>
      </x:c>
      <x:c r="D15" s="14" t="str">
        <x:v>ND</x:v>
      </x:c>
      <x:c r="E15" s="14" t="str">
        <x:v>ND</x:v>
      </x:c>
      <x:c r="F15" s="14" t="str">
        <x:v>ND</x:v>
      </x:c>
      <x:c r="G15" s="14" t="n">
        <x:v>19.0656</x:v>
      </x:c>
      <x:c r="H15" s="14" t="n">
        <x:v>19.0621</x:v>
      </x:c>
      <x:c r="I15" s="14" t="n">
        <x:v>19.0734</x:v>
      </x:c>
    </x:row>
    <x:row r="16" ht="20" customHeight="1">
      <x:c r="A16" s="13" t="str">
        <x:v>hsa_circ_0001703</x:v>
      </x:c>
      <x:c r="B16" s="13" t="str">
        <x:v>Cellular 3</x:v>
      </x:c>
      <x:c r="C16" s="13" t="str">
        <x:v>GAPDH</x:v>
      </x:c>
      <x:c r="D16" s="14" t="str">
        <x:v>ND</x:v>
      </x:c>
      <x:c r="E16" s="14" t="str">
        <x:v>ND</x:v>
      </x:c>
      <x:c r="F16" s="14" t="str">
        <x:v>ND</x:v>
      </x:c>
      <x:c r="G16" s="14" t="n">
        <x:v>19.0713</x:v>
      </x:c>
      <x:c r="H16" s="14" t="n">
        <x:v>19.0099</x:v>
      </x:c>
      <x:c r="I16" s="14" t="n">
        <x:v>19.0413</x:v>
      </x:c>
    </x:row>
    <x:row r="17" ht="20" customHeight="1">
      <x:c r="A17" s="13" t="str">
        <x:v>hsa_circ_0001703</x:v>
      </x:c>
      <x:c r="B17" s="13" t="str">
        <x:v>EV 1</x:v>
      </x:c>
      <x:c r="C17" s="13" t="str">
        <x:v>hsa-miR-16-5p</x:v>
      </x:c>
      <x:c r="D17" s="14" t="str">
        <x:v>ND</x:v>
      </x:c>
      <x:c r="E17" s="14" t="str">
        <x:v>ND</x:v>
      </x:c>
      <x:c r="F17" s="14" t="str">
        <x:v>ND</x:v>
      </x:c>
      <x:c r="G17" s="14" t="n">
        <x:v>26.1018</x:v>
      </x:c>
      <x:c r="H17" s="14" t="n">
        <x:v>26.1164</x:v>
      </x:c>
      <x:c r="I17" s="14" t="n">
        <x:v>26.1557</x:v>
      </x:c>
    </x:row>
    <x:row r="18" ht="20" customHeight="1">
      <x:c r="A18" s="13" t="str">
        <x:v>hsa_circ_0001703</x:v>
      </x:c>
      <x:c r="B18" s="13" t="str">
        <x:v>EV 2</x:v>
      </x:c>
      <x:c r="C18" s="13" t="str">
        <x:v>hsa-miR-16-5p</x:v>
      </x:c>
      <x:c r="D18" s="14" t="str">
        <x:v>ND</x:v>
      </x:c>
      <x:c r="E18" s="14" t="str">
        <x:v>ND</x:v>
      </x:c>
      <x:c r="F18" s="14" t="str">
        <x:v>ND</x:v>
      </x:c>
      <x:c r="G18" s="14" t="n">
        <x:v>26.0804</x:v>
      </x:c>
      <x:c r="H18" s="14" t="n">
        <x:v>26.0154</x:v>
      </x:c>
      <x:c r="I18" s="14" t="n">
        <x:v>26.0967</x:v>
      </x:c>
    </x:row>
    <x:row r="19" ht="20" customHeight="1">
      <x:c r="A19" s="13" t="str">
        <x:v>hsa_circ_0001703</x:v>
      </x:c>
      <x:c r="B19" s="13" t="str">
        <x:v>EV 3</x:v>
      </x:c>
      <x:c r="C19" s="13" t="str">
        <x:v>hsa-miR-16-5p</x:v>
      </x:c>
      <x:c r="D19" s="14" t="str">
        <x:v>ND</x:v>
      </x:c>
      <x:c r="E19" s="14" t="str">
        <x:v>ND</x:v>
      </x:c>
      <x:c r="F19" s="14" t="str">
        <x:v>ND</x:v>
      </x:c>
      <x:c r="G19" s="14" t="n">
        <x:v>26.1162</x:v>
      </x:c>
      <x:c r="H19" s="14" t="n">
        <x:v>26.1092</x:v>
      </x:c>
      <x:c r="I19" s="14" t="n">
        <x:v>26.0082</x:v>
      </x:c>
    </x:row>
    <x:row r="20" ht="20" customHeight="1">
      <x:c r="A20" s="13" t="str">
        <x:v>hsa_circ_0000253</x:v>
      </x:c>
      <x:c r="B20" s="13" t="str">
        <x:v>Cellular 1</x:v>
      </x:c>
      <x:c r="C20" s="13" t="str">
        <x:v>GAPDH</x:v>
      </x:c>
      <x:c r="D20" s="14" t="str">
        <x:v>ND</x:v>
      </x:c>
      <x:c r="E20" s="14" t="str">
        <x:v>ND</x:v>
      </x:c>
      <x:c r="F20" s="14" t="n">
        <x:v>33.2846</x:v>
      </x:c>
      <x:c r="G20" s="14" t="n">
        <x:v>19.0797</x:v>
      </x:c>
      <x:c r="H20" s="14" t="n">
        <x:v>19.0847</x:v>
      </x:c>
      <x:c r="I20" s="14" t="n">
        <x:v>19.0915</x:v>
      </x:c>
    </x:row>
    <x:row r="21" ht="20" customHeight="1">
      <x:c r="A21" s="13" t="str">
        <x:v>hsa_circ_0000253</x:v>
      </x:c>
      <x:c r="B21" s="13" t="str">
        <x:v>Cellular 2</x:v>
      </x:c>
      <x:c r="C21" s="13" t="str">
        <x:v>GAPDH</x:v>
      </x:c>
      <x:c r="D21" s="14" t="n">
        <x:v>34.9326</x:v>
      </x:c>
      <x:c r="E21" s="14" t="str">
        <x:v>ND</x:v>
      </x:c>
      <x:c r="F21" s="14" t="str">
        <x:v>ND</x:v>
      </x:c>
      <x:c r="G21" s="14" t="n">
        <x:v>19.0656</x:v>
      </x:c>
      <x:c r="H21" s="14" t="n">
        <x:v>19.0621</x:v>
      </x:c>
      <x:c r="I21" s="14" t="n">
        <x:v>19.0734</x:v>
      </x:c>
    </x:row>
    <x:row r="22" ht="20" customHeight="1">
      <x:c r="A22" s="13" t="str">
        <x:v>hsa_circ_0000253</x:v>
      </x:c>
      <x:c r="B22" s="13" t="str">
        <x:v>Cellular 3</x:v>
      </x:c>
      <x:c r="C22" s="13" t="str">
        <x:v>GAPDH</x:v>
      </x:c>
      <x:c r="D22" s="14" t="n">
        <x:v>31.4032</x:v>
      </x:c>
      <x:c r="E22" s="14" t="n">
        <x:v>33.7179</x:v>
      </x:c>
      <x:c r="F22" s="14" t="n">
        <x:v>32.3434</x:v>
      </x:c>
      <x:c r="G22" s="14" t="n">
        <x:v>19.0713</x:v>
      </x:c>
      <x:c r="H22" s="14" t="n">
        <x:v>19.0099</x:v>
      </x:c>
      <x:c r="I22" s="14" t="n">
        <x:v>19.0413</x:v>
      </x:c>
    </x:row>
    <x:row r="23" ht="20" customHeight="1">
      <x:c r="A23" s="13" t="str">
        <x:v>hsa_circ_0000253</x:v>
      </x:c>
      <x:c r="B23" s="13" t="str">
        <x:v>EV 1</x:v>
      </x:c>
      <x:c r="C23" s="13" t="str">
        <x:v>hsa-miR-16-5p</x:v>
      </x:c>
      <x:c r="D23" s="14" t="n">
        <x:v>25.063</x:v>
      </x:c>
      <x:c r="E23" s="14" t="n">
        <x:v>25.0399</x:v>
      </x:c>
      <x:c r="F23" s="14" t="n">
        <x:v>25.0834</x:v>
      </x:c>
      <x:c r="G23" s="14" t="n">
        <x:v>26.1018</x:v>
      </x:c>
      <x:c r="H23" s="14" t="n">
        <x:v>26.1164</x:v>
      </x:c>
      <x:c r="I23" s="14" t="n">
        <x:v>26.1557</x:v>
      </x:c>
    </x:row>
    <x:row r="24" ht="20" customHeight="1">
      <x:c r="A24" s="13" t="str">
        <x:v>hsa_circ_0000253</x:v>
      </x:c>
      <x:c r="B24" s="13" t="str">
        <x:v>EV 2</x:v>
      </x:c>
      <x:c r="C24" s="13" t="str">
        <x:v>hsa-miR-16-5p</x:v>
      </x:c>
      <x:c r="D24" s="14" t="n">
        <x:v>24.9781</x:v>
      </x:c>
      <x:c r="E24" s="14" t="n">
        <x:v>24.9769</x:v>
      </x:c>
      <x:c r="F24" s="14" t="n">
        <x:v>24.9732</x:v>
      </x:c>
      <x:c r="G24" s="14" t="n">
        <x:v>26.0804</x:v>
      </x:c>
      <x:c r="H24" s="14" t="n">
        <x:v>26.0154</x:v>
      </x:c>
      <x:c r="I24" s="14" t="n">
        <x:v>26.0967</x:v>
      </x:c>
    </x:row>
    <x:row r="25" ht="20" customHeight="1">
      <x:c r="A25" s="13" t="str">
        <x:v>hsa_circ_0000253</x:v>
      </x:c>
      <x:c r="B25" s="13" t="str">
        <x:v>EV 3</x:v>
      </x:c>
      <x:c r="C25" s="13" t="str">
        <x:v>hsa-miR-16-5p</x:v>
      </x:c>
      <x:c r="D25" s="14" t="n">
        <x:v>25.0671</x:v>
      </x:c>
      <x:c r="E25" s="14" t="n">
        <x:v>25.0208</x:v>
      </x:c>
      <x:c r="F25" s="14" t="n">
        <x:v>25.1421</x:v>
      </x:c>
      <x:c r="G25" s="14" t="n">
        <x:v>26.1162</x:v>
      </x:c>
      <x:c r="H25" s="14" t="n">
        <x:v>26.1092</x:v>
      </x:c>
      <x:c r="I25" s="14" t="n">
        <x:v>26.0082</x:v>
      </x:c>
    </x:row>
    <x:row r="26" ht="20" customHeight="1">
      <x:c r="A26" s="13" t="str">
        <x:v>hsa_circ_0000036</x:v>
      </x:c>
      <x:c r="B26" s="13" t="str">
        <x:v>Cellular 1</x:v>
      </x:c>
      <x:c r="C26" s="13" t="str">
        <x:v>GAPDH</x:v>
      </x:c>
      <x:c r="D26" s="14" t="n">
        <x:v>31.4859</x:v>
      </x:c>
      <x:c r="E26" s="14" t="n">
        <x:v>34.0188</x:v>
      </x:c>
      <x:c r="F26" s="14" t="n">
        <x:v>33.9978</x:v>
      </x:c>
      <x:c r="G26" s="14" t="n">
        <x:v>19.0797</x:v>
      </x:c>
      <x:c r="H26" s="14" t="n">
        <x:v>19.0847</x:v>
      </x:c>
      <x:c r="I26" s="14" t="n">
        <x:v>19.0915</x:v>
      </x:c>
    </x:row>
    <x:row r="27" ht="20" customHeight="1">
      <x:c r="A27" s="13" t="str">
        <x:v>hsa_circ_0000036</x:v>
      </x:c>
      <x:c r="B27" s="13" t="str">
        <x:v>Cellular 2</x:v>
      </x:c>
      <x:c r="C27" s="13" t="str">
        <x:v>GAPDH</x:v>
      </x:c>
      <x:c r="D27" s="14" t="str">
        <x:v>ND</x:v>
      </x:c>
      <x:c r="E27" s="14" t="str">
        <x:v>ND</x:v>
      </x:c>
      <x:c r="F27" s="14" t="str">
        <x:v>ND</x:v>
      </x:c>
      <x:c r="G27" s="14" t="n">
        <x:v>19.0656</x:v>
      </x:c>
      <x:c r="H27" s="14" t="n">
        <x:v>19.0621</x:v>
      </x:c>
      <x:c r="I27" s="14" t="n">
        <x:v>19.0734</x:v>
      </x:c>
    </x:row>
    <x:row r="28" ht="20" customHeight="1">
      <x:c r="A28" s="13" t="str">
        <x:v>hsa_circ_0000036</x:v>
      </x:c>
      <x:c r="B28" s="13" t="str">
        <x:v>Cellular 3</x:v>
      </x:c>
      <x:c r="C28" s="13" t="str">
        <x:v>GAPDH</x:v>
      </x:c>
      <x:c r="D28" s="14" t="n">
        <x:v>29.9072</x:v>
      </x:c>
      <x:c r="E28" s="14" t="str">
        <x:v>ND</x:v>
      </x:c>
      <x:c r="F28" s="14" t="n">
        <x:v>33.9849</x:v>
      </x:c>
      <x:c r="G28" s="14" t="n">
        <x:v>19.0713</x:v>
      </x:c>
      <x:c r="H28" s="14" t="n">
        <x:v>19.0099</x:v>
      </x:c>
      <x:c r="I28" s="14" t="n">
        <x:v>19.0413</x:v>
      </x:c>
    </x:row>
    <x:row r="29" ht="20" customHeight="1">
      <x:c r="A29" s="13" t="str">
        <x:v>hsa_circ_0000036</x:v>
      </x:c>
      <x:c r="B29" s="13" t="str">
        <x:v>EV 1</x:v>
      </x:c>
      <x:c r="C29" s="13" t="str">
        <x:v>hsa-miR-16-5p</x:v>
      </x:c>
      <x:c r="D29" s="14" t="n">
        <x:v>22.0206</x:v>
      </x:c>
      <x:c r="E29" s="14" t="n">
        <x:v>22.0231</x:v>
      </x:c>
      <x:c r="F29" s="14" t="n">
        <x:v>22.039</x:v>
      </x:c>
      <x:c r="G29" s="14" t="n">
        <x:v>26.1018</x:v>
      </x:c>
      <x:c r="H29" s="14" t="n">
        <x:v>26.1164</x:v>
      </x:c>
      <x:c r="I29" s="14" t="n">
        <x:v>26.1557</x:v>
      </x:c>
    </x:row>
    <x:row r="30" ht="20" customHeight="1">
      <x:c r="A30" s="13" t="str">
        <x:v>hsa_circ_0000036</x:v>
      </x:c>
      <x:c r="B30" s="13" t="str">
        <x:v>EV 2</x:v>
      </x:c>
      <x:c r="C30" s="13" t="str">
        <x:v>hsa-miR-16-5p</x:v>
      </x:c>
      <x:c r="D30" s="14" t="n">
        <x:v>22.0545</x:v>
      </x:c>
      <x:c r="E30" s="14" t="n">
        <x:v>22.0344</x:v>
      </x:c>
      <x:c r="F30" s="14" t="n">
        <x:v>22.0644</x:v>
      </x:c>
      <x:c r="G30" s="14" t="n">
        <x:v>26.0804</x:v>
      </x:c>
      <x:c r="H30" s="14" t="n">
        <x:v>26.0154</x:v>
      </x:c>
      <x:c r="I30" s="14" t="n">
        <x:v>26.0967</x:v>
      </x:c>
    </x:row>
    <x:row r="31" ht="20" customHeight="1">
      <x:c r="A31" s="13" t="str">
        <x:v>hsa_circ_0000036</x:v>
      </x:c>
      <x:c r="B31" s="13" t="str">
        <x:v>EV 3</x:v>
      </x:c>
      <x:c r="C31" s="13" t="str">
        <x:v>hsa-miR-16-5p</x:v>
      </x:c>
      <x:c r="D31" s="14" t="n">
        <x:v>22.1723</x:v>
      </x:c>
      <x:c r="E31" s="14" t="n">
        <x:v>22.0595</x:v>
      </x:c>
      <x:c r="F31" s="14" t="n">
        <x:v>22.0733</x:v>
      </x:c>
      <x:c r="G31" s="14" t="n">
        <x:v>26.1162</x:v>
      </x:c>
      <x:c r="H31" s="14" t="n">
        <x:v>26.1092</x:v>
      </x:c>
      <x:c r="I31" s="14" t="n">
        <x:v>26.0082</x:v>
      </x:c>
    </x:row>
    <x:row r="32" ht="20" customHeight="1">
      <x:c r="A32" s="13" t="str">
        <x:v>hsa_circ_0000658</x:v>
      </x:c>
      <x:c r="B32" s="13" t="str">
        <x:v>Cellular 1</x:v>
      </x:c>
      <x:c r="C32" s="13" t="str">
        <x:v>GAPDH</x:v>
      </x:c>
      <x:c r="D32" s="14" t="str">
        <x:v>ND</x:v>
      </x:c>
      <x:c r="E32" s="14" t="str">
        <x:v>ND</x:v>
      </x:c>
      <x:c r="F32" s="14" t="n">
        <x:v>33.3132</x:v>
      </x:c>
      <x:c r="G32" s="14" t="n">
        <x:v>19.0797</x:v>
      </x:c>
      <x:c r="H32" s="14" t="n">
        <x:v>19.0847</x:v>
      </x:c>
      <x:c r="I32" s="14" t="n">
        <x:v>19.0915</x:v>
      </x:c>
    </x:row>
    <x:row r="33" ht="20" customHeight="1">
      <x:c r="A33" s="13" t="str">
        <x:v>hsa_circ_0000658</x:v>
      </x:c>
      <x:c r="B33" s="13" t="str">
        <x:v>Cellular 2</x:v>
      </x:c>
      <x:c r="C33" s="13" t="str">
        <x:v>GAPDH</x:v>
      </x:c>
      <x:c r="D33" s="14" t="n">
        <x:v>33.5798</x:v>
      </x:c>
      <x:c r="E33" s="14" t="n">
        <x:v>31.9255</x:v>
      </x:c>
      <x:c r="F33" s="14" t="n">
        <x:v>32.594</x:v>
      </x:c>
      <x:c r="G33" s="14" t="n">
        <x:v>19.0656</x:v>
      </x:c>
      <x:c r="H33" s="14" t="n">
        <x:v>19.0621</x:v>
      </x:c>
      <x:c r="I33" s="14" t="n">
        <x:v>19.0734</x:v>
      </x:c>
    </x:row>
    <x:row r="34" ht="20" customHeight="1">
      <x:c r="A34" s="13" t="str">
        <x:v>hsa_circ_0000658</x:v>
      </x:c>
      <x:c r="B34" s="13" t="str">
        <x:v>Cellular 3</x:v>
      </x:c>
      <x:c r="C34" s="13" t="str">
        <x:v>GAPDH</x:v>
      </x:c>
      <x:c r="D34" s="14" t="n">
        <x:v>34.1493</x:v>
      </x:c>
      <x:c r="E34" s="14" t="n">
        <x:v>34.0744</x:v>
      </x:c>
      <x:c r="F34" s="14" t="n">
        <x:v>34.0552</x:v>
      </x:c>
      <x:c r="G34" s="14" t="n">
        <x:v>19.0713</x:v>
      </x:c>
      <x:c r="H34" s="14" t="n">
        <x:v>19.0099</x:v>
      </x:c>
      <x:c r="I34" s="14" t="n">
        <x:v>19.0413</x:v>
      </x:c>
    </x:row>
    <x:row r="35" ht="20" customHeight="1">
      <x:c r="A35" s="13" t="str">
        <x:v>hsa_circ_0000658</x:v>
      </x:c>
      <x:c r="B35" s="13" t="str">
        <x:v>EV 1</x:v>
      </x:c>
      <x:c r="C35" s="13" t="str">
        <x:v>hsa-miR-16-5p</x:v>
      </x:c>
      <x:c r="D35" s="14" t="n">
        <x:v>26.2463</x:v>
      </x:c>
      <x:c r="E35" s="14" t="n">
        <x:v>26.247</x:v>
      </x:c>
      <x:c r="F35" s="14" t="n">
        <x:v>26.1092</x:v>
      </x:c>
      <x:c r="G35" s="14" t="n">
        <x:v>26.1018</x:v>
      </x:c>
      <x:c r="H35" s="14" t="n">
        <x:v>26.1164</x:v>
      </x:c>
      <x:c r="I35" s="14" t="n">
        <x:v>26.1557</x:v>
      </x:c>
    </x:row>
    <x:row r="36" ht="20" customHeight="1">
      <x:c r="A36" s="13" t="str">
        <x:v>hsa_circ_0000658</x:v>
      </x:c>
      <x:c r="B36" s="13" t="str">
        <x:v>EV 2</x:v>
      </x:c>
      <x:c r="C36" s="13" t="str">
        <x:v>hsa-miR-16-5p</x:v>
      </x:c>
      <x:c r="D36" s="14" t="n">
        <x:v>26.0995</x:v>
      </x:c>
      <x:c r="E36" s="14" t="n">
        <x:v>26.1612</x:v>
      </x:c>
      <x:c r="F36" s="14" t="n">
        <x:v>26.1545</x:v>
      </x:c>
      <x:c r="G36" s="14" t="n">
        <x:v>26.0804</x:v>
      </x:c>
      <x:c r="H36" s="14" t="n">
        <x:v>26.0154</x:v>
      </x:c>
      <x:c r="I36" s="14" t="n">
        <x:v>26.0967</x:v>
      </x:c>
    </x:row>
    <x:row r="37" ht="20" customHeight="1">
      <x:c r="A37" s="13" t="str">
        <x:v>hsa_circ_0000658</x:v>
      </x:c>
      <x:c r="B37" s="13" t="str">
        <x:v>EV 3</x:v>
      </x:c>
      <x:c r="C37" s="13" t="str">
        <x:v>hsa-miR-16-5p</x:v>
      </x:c>
      <x:c r="D37" s="14" t="n">
        <x:v>26.0142</x:v>
      </x:c>
      <x:c r="E37" s="14" t="n">
        <x:v>26.1448</x:v>
      </x:c>
      <x:c r="F37" s="14" t="n">
        <x:v>26.0713</x:v>
      </x:c>
      <x:c r="G37" s="14" t="n">
        <x:v>26.1162</x:v>
      </x:c>
      <x:c r="H37" s="14" t="n">
        <x:v>26.1092</x:v>
      </x:c>
      <x:c r="I37" s="14" t="n">
        <x:v>26.0082</x:v>
      </x:c>
    </x:row>
    <x:row r="38" ht="20" customHeight="1">
      <x:c r="A38" s="13" t="str">
        <x:v>hsa_circ_0004623</x:v>
      </x:c>
      <x:c r="B38" s="13" t="str">
        <x:v>Cellular 1</x:v>
      </x:c>
      <x:c r="C38" s="13" t="str">
        <x:v>GAPDH</x:v>
      </x:c>
      <x:c r="D38" s="14" t="n">
        <x:v>35.0708</x:v>
      </x:c>
      <x:c r="E38" s="14" t="str">
        <x:v>ND</x:v>
      </x:c>
      <x:c r="F38" s="14" t="str">
        <x:v>ND</x:v>
      </x:c>
      <x:c r="G38" s="14" t="n">
        <x:v>19.0797</x:v>
      </x:c>
      <x:c r="H38" s="14" t="n">
        <x:v>19.0847</x:v>
      </x:c>
      <x:c r="I38" s="14" t="n">
        <x:v>19.0915</x:v>
      </x:c>
    </x:row>
    <x:row r="39" ht="20" customHeight="1">
      <x:c r="A39" s="13" t="str">
        <x:v>hsa_circ_0004623</x:v>
      </x:c>
      <x:c r="B39" s="13" t="str">
        <x:v>Cellular 2</x:v>
      </x:c>
      <x:c r="C39" s="13" t="str">
        <x:v>GAPDH</x:v>
      </x:c>
      <x:c r="D39" s="14" t="str">
        <x:v>ND</x:v>
      </x:c>
      <x:c r="E39" s="14" t="str">
        <x:v>ND</x:v>
      </x:c>
      <x:c r="F39" s="14" t="str">
        <x:v>ND</x:v>
      </x:c>
      <x:c r="G39" s="14" t="n">
        <x:v>19.0656</x:v>
      </x:c>
      <x:c r="H39" s="14" t="n">
        <x:v>19.0621</x:v>
      </x:c>
      <x:c r="I39" s="14" t="n">
        <x:v>19.0734</x:v>
      </x:c>
    </x:row>
    <x:row r="40" ht="20" customHeight="1">
      <x:c r="A40" s="13" t="str">
        <x:v>hsa_circ_0004623</x:v>
      </x:c>
      <x:c r="B40" s="13" t="str">
        <x:v>Cellular 3</x:v>
      </x:c>
      <x:c r="C40" s="13" t="str">
        <x:v>GAPDH</x:v>
      </x:c>
      <x:c r="D40" s="14" t="str">
        <x:v>ND</x:v>
      </x:c>
      <x:c r="E40" s="14" t="str">
        <x:v>ND</x:v>
      </x:c>
      <x:c r="F40" s="14" t="str">
        <x:v>ND</x:v>
      </x:c>
      <x:c r="G40" s="14" t="n">
        <x:v>19.0713</x:v>
      </x:c>
      <x:c r="H40" s="14" t="n">
        <x:v>19.0099</x:v>
      </x:c>
      <x:c r="I40" s="14" t="n">
        <x:v>19.0413</x:v>
      </x:c>
    </x:row>
    <x:row r="41" ht="20" customHeight="1">
      <x:c r="A41" s="13" t="str">
        <x:v>hsa_circ_0004623</x:v>
      </x:c>
      <x:c r="B41" s="13" t="str">
        <x:v>EV 1</x:v>
      </x:c>
      <x:c r="C41" s="13" t="str">
        <x:v>hsa-miR-16-5p</x:v>
      </x:c>
      <x:c r="D41" s="14" t="n">
        <x:v>34.6272</x:v>
      </x:c>
      <x:c r="E41" s="14" t="n">
        <x:v>35.6948</x:v>
      </x:c>
      <x:c r="F41" s="14" t="n">
        <x:v>36.8063</x:v>
      </x:c>
      <x:c r="G41" s="14" t="n">
        <x:v>26.1018</x:v>
      </x:c>
      <x:c r="H41" s="14" t="n">
        <x:v>26.1164</x:v>
      </x:c>
      <x:c r="I41" s="14" t="n">
        <x:v>26.1557</x:v>
      </x:c>
    </x:row>
    <x:row r="42" ht="20" customHeight="1">
      <x:c r="A42" s="13" t="str">
        <x:v>hsa_circ_0004623</x:v>
      </x:c>
      <x:c r="B42" s="13" t="str">
        <x:v>EV 2</x:v>
      </x:c>
      <x:c r="C42" s="13" t="str">
        <x:v>hsa-miR-16-5p</x:v>
      </x:c>
      <x:c r="D42" s="14" t="n">
        <x:v>33.9984</x:v>
      </x:c>
      <x:c r="E42" s="14" t="n">
        <x:v>36.6744</x:v>
      </x:c>
      <x:c r="F42" s="14" t="n">
        <x:v>36.7396</x:v>
      </x:c>
      <x:c r="G42" s="14" t="n">
        <x:v>26.0804</x:v>
      </x:c>
      <x:c r="H42" s="14" t="n">
        <x:v>26.0154</x:v>
      </x:c>
      <x:c r="I42" s="14" t="n">
        <x:v>26.0967</x:v>
      </x:c>
    </x:row>
    <x:row r="43" ht="20" customHeight="1">
      <x:c r="A43" s="13" t="str">
        <x:v>hsa_circ_0004623</x:v>
      </x:c>
      <x:c r="B43" s="13" t="str">
        <x:v>EV 3</x:v>
      </x:c>
      <x:c r="C43" s="13" t="str">
        <x:v>hsa-miR-16-5p</x:v>
      </x:c>
      <x:c r="D43" s="14" t="n">
        <x:v>36.6319</x:v>
      </x:c>
      <x:c r="E43" s="14" t="n">
        <x:v>36.7121</x:v>
      </x:c>
      <x:c r="F43" s="14" t="n">
        <x:v>36.7424</x:v>
      </x:c>
      <x:c r="G43" s="14" t="n">
        <x:v>26.1162</x:v>
      </x:c>
      <x:c r="H43" s="14" t="n">
        <x:v>26.1092</x:v>
      </x:c>
      <x:c r="I43" s="14" t="n">
        <x:v>26.0082</x:v>
      </x:c>
    </x:row>
    <x:row r="44" ht="20" customHeight="1">
      <x:c r="A44" s="13" t="str">
        <x:v>hsa_circ_0084443</x:v>
      </x:c>
      <x:c r="B44" s="13" t="str">
        <x:v>Cellular 1</x:v>
      </x:c>
      <x:c r="C44" s="13" t="str">
        <x:v>GAPDH</x:v>
      </x:c>
      <x:c r="D44" s="14" t="str">
        <x:v>ND</x:v>
      </x:c>
      <x:c r="E44" s="14" t="str">
        <x:v>ND</x:v>
      </x:c>
      <x:c r="F44" s="14" t="str">
        <x:v>ND</x:v>
      </x:c>
      <x:c r="G44" s="14" t="n">
        <x:v>19.0797</x:v>
      </x:c>
      <x:c r="H44" s="14" t="n">
        <x:v>19.0847</x:v>
      </x:c>
      <x:c r="I44" s="14" t="n">
        <x:v>19.0915</x:v>
      </x:c>
    </x:row>
    <x:row r="45" ht="20" customHeight="1">
      <x:c r="A45" s="13" t="str">
        <x:v>hsa_circ_0084443</x:v>
      </x:c>
      <x:c r="B45" s="13" t="str">
        <x:v>Cellular 2</x:v>
      </x:c>
      <x:c r="C45" s="13" t="str">
        <x:v>GAPDH</x:v>
      </x:c>
      <x:c r="D45" s="14" t="str">
        <x:v>ND</x:v>
      </x:c>
      <x:c r="E45" s="14" t="str">
        <x:v>ND</x:v>
      </x:c>
      <x:c r="F45" s="14" t="str">
        <x:v>ND</x:v>
      </x:c>
      <x:c r="G45" s="14" t="n">
        <x:v>19.0656</x:v>
      </x:c>
      <x:c r="H45" s="14" t="n">
        <x:v>19.0621</x:v>
      </x:c>
      <x:c r="I45" s="14" t="n">
        <x:v>19.0734</x:v>
      </x:c>
    </x:row>
    <x:row r="46" ht="20" customHeight="1">
      <x:c r="A46" s="13" t="str">
        <x:v>hsa_circ_0084443</x:v>
      </x:c>
      <x:c r="B46" s="13" t="str">
        <x:v>Cellular 3</x:v>
      </x:c>
      <x:c r="C46" s="13" t="str">
        <x:v>GAPDH</x:v>
      </x:c>
      <x:c r="D46" s="14" t="str">
        <x:v>ND</x:v>
      </x:c>
      <x:c r="E46" s="14" t="str">
        <x:v>ND</x:v>
      </x:c>
      <x:c r="F46" s="14" t="str">
        <x:v>ND</x:v>
      </x:c>
      <x:c r="G46" s="14" t="n">
        <x:v>19.0713</x:v>
      </x:c>
      <x:c r="H46" s="14" t="n">
        <x:v>19.0099</x:v>
      </x:c>
      <x:c r="I46" s="14" t="n">
        <x:v>19.0413</x:v>
      </x:c>
    </x:row>
    <x:row r="47" ht="20" customHeight="1">
      <x:c r="A47" s="13" t="str">
        <x:v>hsa_circ_0084443</x:v>
      </x:c>
      <x:c r="B47" s="13" t="str">
        <x:v>EV 1</x:v>
      </x:c>
      <x:c r="C47" s="13" t="str">
        <x:v>hsa-miR-16-5p</x:v>
      </x:c>
      <x:c r="D47" s="14" t="n">
        <x:v>34.6055</x:v>
      </x:c>
      <x:c r="E47" s="14" t="n">
        <x:v>32.9837</x:v>
      </x:c>
      <x:c r="F47" s="14" t="n">
        <x:v>32.7785</x:v>
      </x:c>
      <x:c r="G47" s="14" t="n">
        <x:v>26.1018</x:v>
      </x:c>
      <x:c r="H47" s="14" t="n">
        <x:v>26.1164</x:v>
      </x:c>
      <x:c r="I47" s="14" t="n">
        <x:v>26.1557</x:v>
      </x:c>
    </x:row>
    <x:row r="48" ht="20" customHeight="1">
      <x:c r="A48" s="13" t="str">
        <x:v>hsa_circ_0084443</x:v>
      </x:c>
      <x:c r="B48" s="13" t="str">
        <x:v>EV 2</x:v>
      </x:c>
      <x:c r="C48" s="13" t="str">
        <x:v>hsa-miR-16-5p</x:v>
      </x:c>
      <x:c r="D48" s="14" t="n">
        <x:v>34.3528</x:v>
      </x:c>
      <x:c r="E48" s="14" t="n">
        <x:v>35.3781</x:v>
      </x:c>
      <x:c r="F48" s="14" t="n">
        <x:v>34.0054</x:v>
      </x:c>
      <x:c r="G48" s="14" t="n">
        <x:v>26.0804</x:v>
      </x:c>
      <x:c r="H48" s="14" t="n">
        <x:v>26.0154</x:v>
      </x:c>
      <x:c r="I48" s="14" t="n">
        <x:v>26.0967</x:v>
      </x:c>
    </x:row>
    <x:row r="49" ht="20" customHeight="1">
      <x:c r="A49" s="13" t="str">
        <x:v>hsa_circ_0084443</x:v>
      </x:c>
      <x:c r="B49" s="13" t="str">
        <x:v>EV 3</x:v>
      </x:c>
      <x:c r="C49" s="13" t="str">
        <x:v>hsa-miR-16-5p</x:v>
      </x:c>
      <x:c r="D49" s="14" t="n">
        <x:v>34.7439</x:v>
      </x:c>
      <x:c r="E49" s="14" t="n">
        <x:v>34.0984</x:v>
      </x:c>
      <x:c r="F49" s="14" t="n">
        <x:v>33.8741</x:v>
      </x:c>
      <x:c r="G49" s="14" t="n">
        <x:v>26.1162</x:v>
      </x:c>
      <x:c r="H49" s="14" t="n">
        <x:v>26.1092</x:v>
      </x:c>
      <x:c r="I49" s="14" t="n">
        <x:v>26.0082</x:v>
      </x:c>
    </x:row>
    <x:row r="50" ht="20" customHeight="1">
      <x:c r="A50" s="13" t="str">
        <x:v>hsa_circ_0035654</x:v>
      </x:c>
      <x:c r="B50" s="13" t="str">
        <x:v>Cellular 1</x:v>
      </x:c>
      <x:c r="C50" s="13" t="str">
        <x:v>GAPDH</x:v>
      </x:c>
      <x:c r="D50" s="14" t="n">
        <x:v>24.379</x:v>
      </x:c>
      <x:c r="E50" s="14" t="str">
        <x:v>ND</x:v>
      </x:c>
      <x:c r="F50" s="14" t="n">
        <x:v>22.8732</x:v>
      </x:c>
      <x:c r="G50" s="14" t="n">
        <x:v>19.0797</x:v>
      </x:c>
      <x:c r="H50" s="14" t="n">
        <x:v>19.0847</x:v>
      </x:c>
      <x:c r="I50" s="14" t="n">
        <x:v>19.0915</x:v>
      </x:c>
    </x:row>
    <x:row r="51" ht="20" customHeight="1">
      <x:c r="A51" s="13" t="str">
        <x:v>hsa_circ_0035654</x:v>
      </x:c>
      <x:c r="B51" s="13" t="str">
        <x:v>Cellular 2</x:v>
      </x:c>
      <x:c r="C51" s="13" t="str">
        <x:v>GAPDH</x:v>
      </x:c>
      <x:c r="D51" s="14" t="n">
        <x:v>31.221</x:v>
      </x:c>
      <x:c r="E51" s="14" t="n">
        <x:v>25.8891</x:v>
      </x:c>
      <x:c r="F51" s="14" t="n">
        <x:v>25.8075</x:v>
      </x:c>
      <x:c r="G51" s="14" t="n">
        <x:v>19.0656</x:v>
      </x:c>
      <x:c r="H51" s="14" t="n">
        <x:v>19.0621</x:v>
      </x:c>
      <x:c r="I51" s="14" t="n">
        <x:v>19.0734</x:v>
      </x:c>
    </x:row>
    <x:row r="52" ht="20" customHeight="1">
      <x:c r="A52" s="13" t="str">
        <x:v>hsa_circ_0035654</x:v>
      </x:c>
      <x:c r="B52" s="13" t="str">
        <x:v>Cellular 3</x:v>
      </x:c>
      <x:c r="C52" s="13" t="str">
        <x:v>GAPDH</x:v>
      </x:c>
      <x:c r="D52" s="14" t="n">
        <x:v>31.9632</x:v>
      </x:c>
      <x:c r="E52" s="14" t="n">
        <x:v>32.0392</x:v>
      </x:c>
      <x:c r="F52" s="14" t="n">
        <x:v>30.5868</x:v>
      </x:c>
      <x:c r="G52" s="14" t="n">
        <x:v>19.0713</x:v>
      </x:c>
      <x:c r="H52" s="14" t="n">
        <x:v>19.0099</x:v>
      </x:c>
      <x:c r="I52" s="14" t="n">
        <x:v>19.0413</x:v>
      </x:c>
    </x:row>
    <x:row r="53" ht="20" customHeight="1">
      <x:c r="A53" s="13" t="str">
        <x:v>hsa_circ_0035654</x:v>
      </x:c>
      <x:c r="B53" s="13" t="str">
        <x:v>EV 1</x:v>
      </x:c>
      <x:c r="C53" s="13" t="str">
        <x:v>hsa-miR-16-5p</x:v>
      </x:c>
      <x:c r="D53" s="14" t="n">
        <x:v>28.2088</x:v>
      </x:c>
      <x:c r="E53" s="14" t="n">
        <x:v>28.0075</x:v>
      </x:c>
      <x:c r="F53" s="14" t="n">
        <x:v>28.117</x:v>
      </x:c>
      <x:c r="G53" s="14" t="n">
        <x:v>26.1018</x:v>
      </x:c>
      <x:c r="H53" s="14" t="n">
        <x:v>26.1164</x:v>
      </x:c>
      <x:c r="I53" s="14" t="n">
        <x:v>26.1557</x:v>
      </x:c>
    </x:row>
    <x:row r="54" ht="20" customHeight="1">
      <x:c r="A54" s="13" t="str">
        <x:v>hsa_circ_0035654</x:v>
      </x:c>
      <x:c r="B54" s="13" t="str">
        <x:v>EV 2</x:v>
      </x:c>
      <x:c r="C54" s="13" t="str">
        <x:v>hsa-miR-16-5p</x:v>
      </x:c>
      <x:c r="D54" s="14" t="n">
        <x:v>27.7415</x:v>
      </x:c>
      <x:c r="E54" s="14" t="n">
        <x:v>28.0965</x:v>
      </x:c>
      <x:c r="F54" s="14" t="n">
        <x:v>28.61</x:v>
      </x:c>
      <x:c r="G54" s="14" t="n">
        <x:v>26.0804</x:v>
      </x:c>
      <x:c r="H54" s="14" t="n">
        <x:v>26.0154</x:v>
      </x:c>
      <x:c r="I54" s="14" t="n">
        <x:v>26.0967</x:v>
      </x:c>
    </x:row>
    <x:row r="55" ht="20" customHeight="1">
      <x:c r="A55" s="13" t="str">
        <x:v>hsa_circ_0035654</x:v>
      </x:c>
      <x:c r="B55" s="13" t="str">
        <x:v>EV 3</x:v>
      </x:c>
      <x:c r="C55" s="13" t="str">
        <x:v>hsa-miR-16-5p</x:v>
      </x:c>
      <x:c r="D55" s="14" t="n">
        <x:v>28.5914</x:v>
      </x:c>
      <x:c r="E55" s="14" t="n">
        <x:v>28.1599</x:v>
      </x:c>
      <x:c r="F55" s="14" t="n">
        <x:v>28.2978</x:v>
      </x:c>
      <x:c r="G55" s="14" t="n">
        <x:v>26.1162</x:v>
      </x:c>
      <x:c r="H55" s="14" t="n">
        <x:v>26.1092</x:v>
      </x:c>
      <x:c r="I55" s="14" t="n">
        <x:v>26.0082</x:v>
      </x:c>
    </x:row>
    <x:row r="56" ht="20" customHeight="1">
      <x:c r="A56" s="13" t="str">
        <x:v>hsa_circ_0001776</x:v>
      </x:c>
      <x:c r="B56" s="13" t="str">
        <x:v>Cellular 1</x:v>
      </x:c>
      <x:c r="C56" s="13" t="str">
        <x:v>GAPDH</x:v>
      </x:c>
      <x:c r="D56" s="14" t="n">
        <x:v>35.1746</x:v>
      </x:c>
      <x:c r="E56" s="14" t="n">
        <x:v>33.686</x:v>
      </x:c>
      <x:c r="F56" s="14" t="n">
        <x:v>33.2831</x:v>
      </x:c>
      <x:c r="G56" s="14" t="n">
        <x:v>19.0797</x:v>
      </x:c>
      <x:c r="H56" s="14" t="n">
        <x:v>19.0847</x:v>
      </x:c>
      <x:c r="I56" s="14" t="n">
        <x:v>19.0915</x:v>
      </x:c>
    </x:row>
    <x:row r="57" ht="20" customHeight="1">
      <x:c r="A57" s="13" t="str">
        <x:v>hsa_circ_0001776</x:v>
      </x:c>
      <x:c r="B57" s="13" t="str">
        <x:v>Cellular 2</x:v>
      </x:c>
      <x:c r="C57" s="13" t="str">
        <x:v>GAPDH</x:v>
      </x:c>
      <x:c r="D57" s="14" t="n">
        <x:v>32.3619</x:v>
      </x:c>
      <x:c r="E57" s="14" t="n">
        <x:v>34.4193</x:v>
      </x:c>
      <x:c r="F57" s="14" t="n">
        <x:v>32.0178</x:v>
      </x:c>
      <x:c r="G57" s="14" t="n">
        <x:v>19.0656</x:v>
      </x:c>
      <x:c r="H57" s="14" t="n">
        <x:v>19.0621</x:v>
      </x:c>
      <x:c r="I57" s="14" t="n">
        <x:v>19.0734</x:v>
      </x:c>
    </x:row>
    <x:row r="58" ht="20" customHeight="1">
      <x:c r="A58" s="13" t="str">
        <x:v>hsa_circ_0001776</x:v>
      </x:c>
      <x:c r="B58" s="13" t="str">
        <x:v>Cellular 3</x:v>
      </x:c>
      <x:c r="C58" s="13" t="str">
        <x:v>GAPDH</x:v>
      </x:c>
      <x:c r="D58" s="14" t="n">
        <x:v>32.1281</x:v>
      </x:c>
      <x:c r="E58" s="14" t="n">
        <x:v>32.6908</x:v>
      </x:c>
      <x:c r="F58" s="14" t="n">
        <x:v>33.1033</x:v>
      </x:c>
      <x:c r="G58" s="14" t="n">
        <x:v>19.0713</x:v>
      </x:c>
      <x:c r="H58" s="14" t="n">
        <x:v>19.0099</x:v>
      </x:c>
      <x:c r="I58" s="14" t="n">
        <x:v>19.0413</x:v>
      </x:c>
    </x:row>
    <x:row r="59" ht="20" customHeight="1">
      <x:c r="A59" s="13" t="str">
        <x:v>hsa_circ_0001776</x:v>
      </x:c>
      <x:c r="B59" s="13" t="str">
        <x:v>EV 1</x:v>
      </x:c>
      <x:c r="C59" s="13" t="str">
        <x:v>hsa-miR-16-5p</x:v>
      </x:c>
      <x:c r="D59" s="14" t="n">
        <x:v>30.2078</x:v>
      </x:c>
      <x:c r="E59" s="14" t="n">
        <x:v>31.1145</x:v>
      </x:c>
      <x:c r="F59" s="14" t="n">
        <x:v>30.3769</x:v>
      </x:c>
      <x:c r="G59" s="14" t="n">
        <x:v>26.1018</x:v>
      </x:c>
      <x:c r="H59" s="14" t="n">
        <x:v>26.1164</x:v>
      </x:c>
      <x:c r="I59" s="14" t="n">
        <x:v>26.1557</x:v>
      </x:c>
    </x:row>
    <x:row r="60" ht="20" customHeight="1">
      <x:c r="A60" s="13" t="str">
        <x:v>hsa_circ_0001776</x:v>
      </x:c>
      <x:c r="B60" s="13" t="str">
        <x:v>EV 2</x:v>
      </x:c>
      <x:c r="C60" s="13" t="str">
        <x:v>hsa-miR-16-5p</x:v>
      </x:c>
      <x:c r="D60" s="14" t="n">
        <x:v>30.2986</x:v>
      </x:c>
      <x:c r="E60" s="14" t="n">
        <x:v>30.0076</x:v>
      </x:c>
      <x:c r="F60" s="14" t="n">
        <x:v>30.3805</x:v>
      </x:c>
      <x:c r="G60" s="14" t="n">
        <x:v>26.0804</x:v>
      </x:c>
      <x:c r="H60" s="14" t="n">
        <x:v>26.0154</x:v>
      </x:c>
      <x:c r="I60" s="14" t="n">
        <x:v>26.0967</x:v>
      </x:c>
    </x:row>
    <x:row r="61" ht="20" customHeight="1">
      <x:c r="A61" s="13" t="str">
        <x:v>hsa_circ_0001776</x:v>
      </x:c>
      <x:c r="B61" s="13" t="str">
        <x:v>EV 3</x:v>
      </x:c>
      <x:c r="C61" s="13" t="str">
        <x:v>hsa-miR-16-5p</x:v>
      </x:c>
      <x:c r="D61" s="14" t="n">
        <x:v>30.7535</x:v>
      </x:c>
      <x:c r="E61" s="14" t="n">
        <x:v>29.9853</x:v>
      </x:c>
      <x:c r="F61" s="14" t="n">
        <x:v>30.2105</x:v>
      </x:c>
      <x:c r="G61" s="14" t="n">
        <x:v>26.1162</x:v>
      </x:c>
      <x:c r="H61" s="14" t="n">
        <x:v>26.1092</x:v>
      </x:c>
      <x:c r="I61" s="14" t="n">
        <x:v>26.0082</x:v>
      </x:c>
    </x:row>
    <x:row r="62" ht="20" customHeight="1">
      <x:c r="A62" s="13" t="str">
        <x:v>hsa_circ_0001222</x:v>
      </x:c>
      <x:c r="B62" s="13" t="str">
        <x:v>Cellular 1</x:v>
      </x:c>
      <x:c r="C62" s="13" t="str">
        <x:v>GAPDH</x:v>
      </x:c>
      <x:c r="D62" s="14" t="n">
        <x:v>35.0234</x:v>
      </x:c>
      <x:c r="E62" s="14" t="n">
        <x:v>34.4622</x:v>
      </x:c>
      <x:c r="F62" s="14" t="n">
        <x:v>31.0582</x:v>
      </x:c>
      <x:c r="G62" s="14" t="n">
        <x:v>19.0797</x:v>
      </x:c>
      <x:c r="H62" s="14" t="n">
        <x:v>19.0847</x:v>
      </x:c>
      <x:c r="I62" s="14" t="n">
        <x:v>19.0915</x:v>
      </x:c>
    </x:row>
    <x:row r="63" ht="20" customHeight="1">
      <x:c r="A63" s="13" t="str">
        <x:v>hsa_circ_0001222</x:v>
      </x:c>
      <x:c r="B63" s="13" t="str">
        <x:v>Cellular 2</x:v>
      </x:c>
      <x:c r="C63" s="13" t="str">
        <x:v>GAPDH</x:v>
      </x:c>
      <x:c r="D63" s="14" t="str">
        <x:v>ND</x:v>
      </x:c>
      <x:c r="E63" s="14" t="str">
        <x:v>ND</x:v>
      </x:c>
      <x:c r="F63" s="14" t="str">
        <x:v>ND</x:v>
      </x:c>
      <x:c r="G63" s="14" t="n">
        <x:v>19.0656</x:v>
      </x:c>
      <x:c r="H63" s="14" t="n">
        <x:v>19.0621</x:v>
      </x:c>
      <x:c r="I63" s="14" t="n">
        <x:v>19.0734</x:v>
      </x:c>
    </x:row>
    <x:row r="64" ht="20" customHeight="1">
      <x:c r="A64" s="13" t="str">
        <x:v>hsa_circ_0001222</x:v>
      </x:c>
      <x:c r="B64" s="13" t="str">
        <x:v>Cellular 3</x:v>
      </x:c>
      <x:c r="C64" s="13" t="str">
        <x:v>GAPDH</x:v>
      </x:c>
      <x:c r="D64" s="14" t="n">
        <x:v>32.3887</x:v>
      </x:c>
      <x:c r="E64" s="14" t="n">
        <x:v>33.8982</x:v>
      </x:c>
      <x:c r="F64" s="14" t="n">
        <x:v>34.3444</x:v>
      </x:c>
      <x:c r="G64" s="14" t="n">
        <x:v>19.0713</x:v>
      </x:c>
      <x:c r="H64" s="14" t="n">
        <x:v>19.0099</x:v>
      </x:c>
      <x:c r="I64" s="14" t="n">
        <x:v>19.0413</x:v>
      </x:c>
    </x:row>
    <x:row r="65" ht="20" customHeight="1">
      <x:c r="A65" s="13" t="str">
        <x:v>hsa_circ_0001222</x:v>
      </x:c>
      <x:c r="B65" s="13" t="str">
        <x:v>EV 1</x:v>
      </x:c>
      <x:c r="C65" s="13" t="str">
        <x:v>hsa-miR-16-5p</x:v>
      </x:c>
      <x:c r="D65" s="14" t="n">
        <x:v>27.261</x:v>
      </x:c>
      <x:c r="E65" s="14" t="n">
        <x:v>27.3144</x:v>
      </x:c>
      <x:c r="F65" s="14" t="n">
        <x:v>27.2295</x:v>
      </x:c>
      <x:c r="G65" s="14" t="n">
        <x:v>26.1018</x:v>
      </x:c>
      <x:c r="H65" s="14" t="n">
        <x:v>26.1164</x:v>
      </x:c>
      <x:c r="I65" s="14" t="n">
        <x:v>26.1557</x:v>
      </x:c>
    </x:row>
    <x:row r="66" ht="20" customHeight="1">
      <x:c r="A66" s="13" t="str">
        <x:v>hsa_circ_0001222</x:v>
      </x:c>
      <x:c r="B66" s="13" t="str">
        <x:v>EV 2</x:v>
      </x:c>
      <x:c r="C66" s="13" t="str">
        <x:v>hsa-miR-16-5p</x:v>
      </x:c>
      <x:c r="D66" s="14" t="n">
        <x:v>27.1413</x:v>
      </x:c>
      <x:c r="E66" s="14" t="n">
        <x:v>27.2089</x:v>
      </x:c>
      <x:c r="F66" s="14" t="n">
        <x:v>27.1325</x:v>
      </x:c>
      <x:c r="G66" s="14" t="n">
        <x:v>26.0804</x:v>
      </x:c>
      <x:c r="H66" s="14" t="n">
        <x:v>26.0154</x:v>
      </x:c>
      <x:c r="I66" s="14" t="n">
        <x:v>26.0967</x:v>
      </x:c>
    </x:row>
    <x:row r="67" ht="20" customHeight="1">
      <x:c r="A67" s="13" t="str">
        <x:v>hsa_circ_0001222</x:v>
      </x:c>
      <x:c r="B67" s="13" t="str">
        <x:v>EV 3</x:v>
      </x:c>
      <x:c r="C67" s="13" t="str">
        <x:v>hsa-miR-16-5p</x:v>
      </x:c>
      <x:c r="D67" s="14" t="n">
        <x:v>27.0656</x:v>
      </x:c>
      <x:c r="E67" s="14" t="n">
        <x:v>26.991</x:v>
      </x:c>
      <x:c r="F67" s="14" t="n">
        <x:v>27.2274</x:v>
      </x:c>
      <x:c r="G67" s="14" t="n">
        <x:v>26.1162</x:v>
      </x:c>
      <x:c r="H67" s="14" t="n">
        <x:v>26.1092</x:v>
      </x:c>
      <x:c r="I67" s="14" t="n">
        <x:v>26.0082</x:v>
      </x:c>
    </x:row>
    <x:row r="68" ht="20" customHeight="1">
      <x:c r="A68" s="13" t="str">
        <x:v>hsa_circ_0005224</x:v>
      </x:c>
      <x:c r="B68" s="13" t="str">
        <x:v>Cellular 1</x:v>
      </x:c>
      <x:c r="C68" s="13" t="str">
        <x:v>GAPDH</x:v>
      </x:c>
      <x:c r="D68" s="14" t="str">
        <x:v>ND</x:v>
      </x:c>
      <x:c r="E68" s="14" t="str">
        <x:v>ND</x:v>
      </x:c>
      <x:c r="F68" s="14" t="n">
        <x:v>34.1777</x:v>
      </x:c>
      <x:c r="G68" s="14" t="n">
        <x:v>19.0797</x:v>
      </x:c>
      <x:c r="H68" s="14" t="n">
        <x:v>19.0847</x:v>
      </x:c>
      <x:c r="I68" s="14" t="n">
        <x:v>19.0915</x:v>
      </x:c>
    </x:row>
    <x:row r="69" ht="20" customHeight="1">
      <x:c r="A69" s="13" t="str">
        <x:v>hsa_circ_0005224</x:v>
      </x:c>
      <x:c r="B69" s="13" t="str">
        <x:v>Cellular 2</x:v>
      </x:c>
      <x:c r="C69" s="13" t="str">
        <x:v>GAPDH</x:v>
      </x:c>
      <x:c r="D69" s="14" t="n">
        <x:v>35.0234</x:v>
      </x:c>
      <x:c r="E69" s="14" t="n">
        <x:v>33.1246</x:v>
      </x:c>
      <x:c r="F69" s="14" t="n">
        <x:v>33.639</x:v>
      </x:c>
      <x:c r="G69" s="14" t="n">
        <x:v>19.0656</x:v>
      </x:c>
      <x:c r="H69" s="14" t="n">
        <x:v>19.0621</x:v>
      </x:c>
      <x:c r="I69" s="14" t="n">
        <x:v>19.0734</x:v>
      </x:c>
    </x:row>
    <x:row r="70" ht="20" customHeight="1">
      <x:c r="A70" s="13" t="str">
        <x:v>hsa_circ_0005224</x:v>
      </x:c>
      <x:c r="B70" s="13" t="str">
        <x:v>Cellular 3</x:v>
      </x:c>
      <x:c r="C70" s="13" t="str">
        <x:v>GAPDH</x:v>
      </x:c>
      <x:c r="D70" s="14" t="str">
        <x:v>ND</x:v>
      </x:c>
      <x:c r="E70" s="14" t="str">
        <x:v>ND</x:v>
      </x:c>
      <x:c r="F70" s="14" t="str">
        <x:v>ND</x:v>
      </x:c>
      <x:c r="G70" s="14" t="n">
        <x:v>19.0713</x:v>
      </x:c>
      <x:c r="H70" s="14" t="n">
        <x:v>19.0099</x:v>
      </x:c>
      <x:c r="I70" s="14" t="n">
        <x:v>19.0413</x:v>
      </x:c>
    </x:row>
    <x:row r="71" ht="20" customHeight="1">
      <x:c r="A71" s="13" t="str">
        <x:v>hsa_circ_0005224</x:v>
      </x:c>
      <x:c r="B71" s="13" t="str">
        <x:v>EV 1</x:v>
      </x:c>
      <x:c r="C71" s="13" t="str">
        <x:v>hsa-miR-16-5p</x:v>
      </x:c>
      <x:c r="D71" s="14" t="str">
        <x:v>ND</x:v>
      </x:c>
      <x:c r="E71" s="14" t="n">
        <x:v>31.7296</x:v>
      </x:c>
      <x:c r="F71" s="14" t="n">
        <x:v>34.2437</x:v>
      </x:c>
      <x:c r="G71" s="14" t="n">
        <x:v>26.1018</x:v>
      </x:c>
      <x:c r="H71" s="14" t="n">
        <x:v>26.1164</x:v>
      </x:c>
      <x:c r="I71" s="14" t="n">
        <x:v>26.1557</x:v>
      </x:c>
    </x:row>
    <x:row r="72" ht="20" customHeight="1">
      <x:c r="A72" s="13" t="str">
        <x:v>hsa_circ_0005224</x:v>
      </x:c>
      <x:c r="B72" s="13" t="str">
        <x:v>EV 2</x:v>
      </x:c>
      <x:c r="C72" s="13" t="str">
        <x:v>hsa-miR-16-5p</x:v>
      </x:c>
      <x:c r="D72" s="14" t="n">
        <x:v>32.7192</x:v>
      </x:c>
      <x:c r="E72" s="14" t="n">
        <x:v>32.9383</x:v>
      </x:c>
      <x:c r="F72" s="14" t="n">
        <x:v>32.2661</x:v>
      </x:c>
      <x:c r="G72" s="14" t="n">
        <x:v>26.0804</x:v>
      </x:c>
      <x:c r="H72" s="14" t="n">
        <x:v>26.0154</x:v>
      </x:c>
      <x:c r="I72" s="14" t="n">
        <x:v>26.0967</x:v>
      </x:c>
    </x:row>
    <x:row r="73" ht="20" customHeight="1">
      <x:c r="A73" s="13" t="str">
        <x:v>hsa_circ_0005224</x:v>
      </x:c>
      <x:c r="B73" s="13" t="str">
        <x:v>EV 3</x:v>
      </x:c>
      <x:c r="C73" s="13" t="str">
        <x:v>hsa-miR-16-5p</x:v>
      </x:c>
      <x:c r="D73" s="14" t="n">
        <x:v>31.0301</x:v>
      </x:c>
      <x:c r="E73" s="14" t="n">
        <x:v>33.139</x:v>
      </x:c>
      <x:c r="F73" s="14" t="n">
        <x:v>32.153</x:v>
      </x:c>
      <x:c r="G73" s="14" t="n">
        <x:v>26.1162</x:v>
      </x:c>
      <x:c r="H73" s="14" t="n">
        <x:v>26.1092</x:v>
      </x:c>
      <x:c r="I73" s="14" t="n">
        <x:v>26.0082</x:v>
      </x:c>
    </x:row>
  </x:sheetData>
  <x:conditionalFormatting sqref="D2:I73">
    <x:cfRule type="containsText" dxfId="0" priority="1" operator="containsText" text="ND"/>
  </x:conditionalFormatting>
  <x:pageMargins left="0.7" right="0.7" top="0.75" bottom="0.75" header="0.3" footer="0.3"/>
  <x:tableParts count="1">
    <x:tablePart xmlns:r="http://schemas.openxmlformats.org/officeDocument/2006/relationships" r:id="R3f8ecbb506b74e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4" hidden="0" customWidth="1"/>
    <x:col min="9" max="9" width="18" hidden="0" customWidth="1"/>
    <x:col min="10" max="10" width="18" hidden="0" customWidth="1"/>
    <x:col min="11" max="11" width="16" hidden="0" customWidth="1"/>
    <x:col min="12" max="12" width="14" hidden="0" customWidth="1"/>
  </x:cols>
  <x:sheetData>
    <x:row r="1" ht="34" customHeight="1">
      <x:c r="A1" s="8" t="str">
        <x:v>Target</x:v>
      </x:c>
      <x:c r="B1" s="9" t="str">
        <x:v>Biological Replicate Pair</x:v>
      </x:c>
      <x:c r="C1" s="9" t="str">
        <x:v>Cellular mean target Ct</x:v>
      </x:c>
      <x:c r="D1" s="9" t="str">
        <x:v>Cellular mean reference Ct</x:v>
      </x:c>
      <x:c r="E1" s="9" t="str">
        <x:v>EV mean target Ct</x:v>
      </x:c>
      <x:c r="F1" s="9" t="str">
        <x:v>EV mean reference Ct</x:v>
      </x:c>
      <x:c r="G1" s="9" t="str">
        <x:v>ΔCt_cellular</x:v>
      </x:c>
      <x:c r="H1" s="9" t="str">
        <x:v>ΔCt_EV</x:v>
      </x:c>
      <x:c r="I1" s="9" t="str">
        <x:v>ΔΔCt (EV−Cellular)</x:v>
      </x:c>
      <x:c r="J1" s="9" t="str">
        <x:v>log₂(EVs/Cellular)</x:v>
      </x:c>
      <x:c r="K1" s="9" t="str">
        <x:v>Cellular status</x:v>
      </x:c>
      <x:c r="L1" s="10" t="str">
        <x:v>EV status</x:v>
      </x:c>
    </x:row>
    <x:row r="2" ht="20" customHeight="1">
      <x:c r="A2" s="13" t="str">
        <x:v>hsa_circ_0000788</x:v>
      </x:c>
      <x:c r="B2" s="13" t="n">
        <x:v>1</x:v>
      </x:c>
      <x:c r="C2" s="14" t="n">
        <x:f>IF(COUNT('Raw_Ct'!D2:F2)=0,"ND",AVERAGE('Raw_Ct'!D2:F2))</x:f>
        <x:v>34.737</x:v>
      </x:c>
      <x:c r="D2" s="14" t="n">
        <x:f>AVERAGE('Raw_Ct'!G2:I2)</x:f>
        <x:v>19.0853</x:v>
      </x:c>
      <x:c r="E2" s="14" t="n">
        <x:f>IF(COUNT('Raw_Ct'!D5:F5)=0,"ND",AVERAGE('Raw_Ct'!D5:F5))</x:f>
        <x:v>30.29143333333333</x:v>
      </x:c>
      <x:c r="F2" s="14" t="n">
        <x:f>AVERAGE('Raw_Ct'!G5:I5)</x:f>
        <x:v>26.124633333333332</x:v>
      </x:c>
      <x:c r="G2" s="14" t="n">
        <x:f>IF(C2="ND","ND",C2-D2)</x:f>
        <x:v>15.651700000000002</x:v>
      </x:c>
      <x:c r="H2" s="14" t="n">
        <x:f>IF(E2="ND","ND",E2-F2)</x:f>
        <x:v>4.1667999999999985</x:v>
      </x:c>
      <x:c r="I2" s="14" t="n">
        <x:f>IF(OR(G2="ND",H2="ND"),"ND",H2-G2)</x:f>
        <x:v>-11.484900000000003</x:v>
      </x:c>
      <x:c r="J2" s="14" t="n">
        <x:f>IF(I2="ND","ND",-I2)</x:f>
        <x:v>11.484900000000003</x:v>
      </x:c>
      <x:c r="K2" s="15" t="str">
        <x:f>IF(C2="ND","Not detected","Detected")</x:f>
        <x:v>Detected</x:v>
      </x:c>
      <x:c r="L2" s="15" t="str">
        <x:f>IF(E2="ND","Not detected","Detected")</x:f>
        <x:v>Detected</x:v>
      </x:c>
    </x:row>
    <x:row r="3" ht="20" customHeight="1">
      <x:c r="A3" s="13" t="str">
        <x:v>hsa_circ_0000788</x:v>
      </x:c>
      <x:c r="B3" s="13" t="n">
        <x:v>2</x:v>
      </x:c>
      <x:c r="C3" s="14" t="n">
        <x:f>IF(COUNT('Raw_Ct'!D3:F3)=0,"ND",AVERAGE('Raw_Ct'!D3:F3))</x:f>
        <x:v>34.50846666666667</x:v>
      </x:c>
      <x:c r="D3" s="14" t="n">
        <x:f>AVERAGE('Raw_Ct'!G3:I3)</x:f>
        <x:v>19.067033333333335</x:v>
      </x:c>
      <x:c r="E3" s="14" t="n">
        <x:f>IF(COUNT('Raw_Ct'!D6:F6)=0,"ND",AVERAGE('Raw_Ct'!D6:F6))</x:f>
        <x:v>30.1797</x:v>
      </x:c>
      <x:c r="F3" s="14" t="n">
        <x:f>AVERAGE('Raw_Ct'!G6:I6)</x:f>
        <x:v>26.064166666666665</x:v>
      </x:c>
      <x:c r="G3" s="14" t="n">
        <x:f>IF(C3="ND","ND",C3-D3)</x:f>
        <x:v>15.441433333333336</x:v>
      </x:c>
      <x:c r="H3" s="14" t="n">
        <x:f>IF(E3="ND","ND",E3-F3)</x:f>
        <x:v>4.115533333333335</x:v>
      </x:c>
      <x:c r="I3" s="14" t="n">
        <x:f>IF(OR(G3="ND",H3="ND"),"ND",H3-G3)</x:f>
        <x:v>-11.3259</x:v>
      </x:c>
      <x:c r="J3" s="14" t="n">
        <x:f>IF(I3="ND","ND",-I3)</x:f>
        <x:v>11.3259</x:v>
      </x:c>
      <x:c r="K3" s="15" t="str">
        <x:f>IF(C3="ND","Not detected","Detected")</x:f>
        <x:v>Detected</x:v>
      </x:c>
      <x:c r="L3" s="15" t="str">
        <x:f>IF(E3="ND","Not detected","Detected")</x:f>
        <x:v>Detected</x:v>
      </x:c>
    </x:row>
    <x:row r="4" ht="20" customHeight="1">
      <x:c r="A4" s="13" t="str">
        <x:v>hsa_circ_0000788</x:v>
      </x:c>
      <x:c r="B4" s="13" t="n">
        <x:v>3</x:v>
      </x:c>
      <x:c r="C4" s="14" t="n">
        <x:f>IF(COUNT('Raw_Ct'!D4:F4)=0,"ND",AVERAGE('Raw_Ct'!D4:F4))</x:f>
        <x:v>34.33520000000001</x:v>
      </x:c>
      <x:c r="D4" s="14" t="n">
        <x:f>AVERAGE('Raw_Ct'!G4:I4)</x:f>
        <x:v>19.04083333333333</x:v>
      </x:c>
      <x:c r="E4" s="14" t="n">
        <x:f>IF(COUNT('Raw_Ct'!D7:F7)=0,"ND",AVERAGE('Raw_Ct'!D7:F7))</x:f>
        <x:v>30.195899999999998</x:v>
      </x:c>
      <x:c r="F4" s="14" t="n">
        <x:f>AVERAGE('Raw_Ct'!G7:I7)</x:f>
        <x:v>26.077866666666665</x:v>
      </x:c>
      <x:c r="G4" s="14" t="n">
        <x:f>IF(C4="ND","ND",C4-D4)</x:f>
        <x:v>15.294366666666676</x:v>
      </x:c>
      <x:c r="H4" s="14" t="n">
        <x:f>IF(E4="ND","ND",E4-F4)</x:f>
        <x:v>4.118033333333333</x:v>
      </x:c>
      <x:c r="I4" s="14" t="n">
        <x:f>IF(OR(G4="ND",H4="ND"),"ND",H4-G4)</x:f>
        <x:v>-11.176333333333343</x:v>
      </x:c>
      <x:c r="J4" s="14" t="n">
        <x:f>IF(I4="ND","ND",-I4)</x:f>
        <x:v>11.176333333333343</x:v>
      </x:c>
      <x:c r="K4" s="15" t="str">
        <x:f>IF(C4="ND","Not detected","Detected")</x:f>
        <x:v>Detected</x:v>
      </x:c>
      <x:c r="L4" s="15" t="str">
        <x:f>IF(E4="ND","Not detected","Detected")</x:f>
        <x:v>Detected</x:v>
      </x:c>
    </x:row>
    <x:row r="5" ht="20" customHeight="1">
      <x:c r="A5" s="13" t="str">
        <x:v>hsa_circ_0001336</x:v>
      </x:c>
      <x:c r="B5" s="13" t="n">
        <x:v>1</x:v>
      </x:c>
      <x:c r="C5" s="14" t="n">
        <x:f>IF(COUNT('Raw_Ct'!D8:F8)=0,"ND",AVERAGE('Raw_Ct'!D8:F8))</x:f>
        <x:v>32.6421</x:v>
      </x:c>
      <x:c r="D5" s="14" t="n">
        <x:f>AVERAGE('Raw_Ct'!G8:I8)</x:f>
        <x:v>19.0853</x:v>
      </x:c>
      <x:c r="E5" s="14" t="n">
        <x:f>IF(COUNT('Raw_Ct'!D11:F11)=0,"ND",AVERAGE('Raw_Ct'!D11:F11))</x:f>
        <x:v>29.2024</x:v>
      </x:c>
      <x:c r="F5" s="14" t="n">
        <x:f>AVERAGE('Raw_Ct'!G11:I11)</x:f>
        <x:v>26.124633333333332</x:v>
      </x:c>
      <x:c r="G5" s="14" t="n">
        <x:f>IF(C5="ND","ND",C5-D5)</x:f>
        <x:v>13.556799999999999</x:v>
      </x:c>
      <x:c r="H5" s="14" t="n">
        <x:f>IF(E5="ND","ND",E5-F5)</x:f>
        <x:v>3.077766666666669</x:v>
      </x:c>
      <x:c r="I5" s="14" t="n">
        <x:f>IF(OR(G5="ND",H5="ND"),"ND",H5-G5)</x:f>
        <x:v>-10.47903333333333</x:v>
      </x:c>
      <x:c r="J5" s="14" t="n">
        <x:f>IF(I5="ND","ND",-I5)</x:f>
        <x:v>10.47903333333333</x:v>
      </x:c>
      <x:c r="K5" s="15" t="str">
        <x:f>IF(C5="ND","Not detected","Detected")</x:f>
        <x:v>Detected</x:v>
      </x:c>
      <x:c r="L5" s="15" t="str">
        <x:f>IF(E5="ND","Not detected","Detected")</x:f>
        <x:v>Detected</x:v>
      </x:c>
    </x:row>
    <x:row r="6" ht="20" customHeight="1">
      <x:c r="A6" s="13" t="str">
        <x:v>hsa_circ_0001336</x:v>
      </x:c>
      <x:c r="B6" s="13" t="n">
        <x:v>2</x:v>
      </x:c>
      <x:c r="C6" s="14" t="str">
        <x:f>IF(COUNT('Raw_Ct'!D9:F9)=0,"ND",AVERAGE('Raw_Ct'!D9:F9))</x:f>
        <x:v>ND</x:v>
      </x:c>
      <x:c r="D6" s="14" t="n">
        <x:f>AVERAGE('Raw_Ct'!G9:I9)</x:f>
        <x:v>19.067033333333335</x:v>
      </x:c>
      <x:c r="E6" s="14" t="n">
        <x:f>IF(COUNT('Raw_Ct'!D12:F12)=0,"ND",AVERAGE('Raw_Ct'!D12:F12))</x:f>
        <x:v>29.048833333333334</x:v>
      </x:c>
      <x:c r="F6" s="14" t="n">
        <x:f>AVERAGE('Raw_Ct'!G12:I12)</x:f>
        <x:v>26.064166666666665</x:v>
      </x:c>
      <x:c r="G6" s="14" t="str">
        <x:f>IF(C6="ND","ND",C6-D6)</x:f>
        <x:v>ND</x:v>
      </x:c>
      <x:c r="H6" s="14" t="n">
        <x:f>IF(E6="ND","ND",E6-F6)</x:f>
        <x:v>2.9846666666666692</x:v>
      </x:c>
      <x:c r="I6" s="14" t="str">
        <x:f>IF(OR(G6="ND",H6="ND"),"ND",H6-G6)</x:f>
        <x:v>ND</x:v>
      </x:c>
      <x:c r="J6" s="14" t="str">
        <x:f>IF(I6="ND","ND",-I6)</x:f>
        <x:v>ND</x:v>
      </x:c>
      <x:c r="K6" s="15" t="str">
        <x:f>IF(C6="ND","Not detected","Detected")</x:f>
        <x:v>Not detected</x:v>
      </x:c>
      <x:c r="L6" s="15" t="str">
        <x:f>IF(E6="ND","Not detected","Detected")</x:f>
        <x:v>Detected</x:v>
      </x:c>
    </x:row>
    <x:row r="7" ht="20" customHeight="1">
      <x:c r="A7" s="13" t="str">
        <x:v>hsa_circ_0001336</x:v>
      </x:c>
      <x:c r="B7" s="13" t="n">
        <x:v>3</x:v>
      </x:c>
      <x:c r="C7" s="14" t="n">
        <x:f>IF(COUNT('Raw_Ct'!D10:F10)=0,"ND",AVERAGE('Raw_Ct'!D10:F10))</x:f>
        <x:v>34.2151</x:v>
      </x:c>
      <x:c r="D7" s="14" t="n">
        <x:f>AVERAGE('Raw_Ct'!G10:I10)</x:f>
        <x:v>19.04083333333333</x:v>
      </x:c>
      <x:c r="E7" s="14" t="n">
        <x:f>IF(COUNT('Raw_Ct'!D13:F13)=0,"ND",AVERAGE('Raw_Ct'!D13:F13))</x:f>
        <x:v>29.065033333333332</x:v>
      </x:c>
      <x:c r="F7" s="14" t="n">
        <x:f>AVERAGE('Raw_Ct'!G13:I13)</x:f>
        <x:v>26.077866666666665</x:v>
      </x:c>
      <x:c r="G7" s="14" t="n">
        <x:f>IF(C7="ND","ND",C7-D7)</x:f>
        <x:v>15.174266666666668</x:v>
      </x:c>
      <x:c r="H7" s="14" t="n">
        <x:f>IF(E7="ND","ND",E7-F7)</x:f>
        <x:v>2.987166666666667</x:v>
      </x:c>
      <x:c r="I7" s="14" t="n">
        <x:f>IF(OR(G7="ND",H7="ND"),"ND",H7-G7)</x:f>
        <x:v>-12.187100000000001</x:v>
      </x:c>
      <x:c r="J7" s="14" t="n">
        <x:f>IF(I7="ND","ND",-I7)</x:f>
        <x:v>12.187100000000001</x:v>
      </x:c>
      <x:c r="K7" s="15" t="str">
        <x:f>IF(C7="ND","Not detected","Detected")</x:f>
        <x:v>Detected</x:v>
      </x:c>
      <x:c r="L7" s="15" t="str">
        <x:f>IF(E7="ND","Not detected","Detected")</x:f>
        <x:v>Detected</x:v>
      </x:c>
    </x:row>
    <x:row r="8" ht="20" customHeight="1">
      <x:c r="A8" s="13" t="str">
        <x:v>hsa_circ_0001703</x:v>
      </x:c>
      <x:c r="B8" s="13" t="n">
        <x:v>1</x:v>
      </x:c>
      <x:c r="C8" s="14" t="str">
        <x:f>IF(COUNT('Raw_Ct'!D14:F14)=0,"ND",AVERAGE('Raw_Ct'!D14:F14))</x:f>
        <x:v>ND</x:v>
      </x:c>
      <x:c r="D8" s="14" t="n">
        <x:f>AVERAGE('Raw_Ct'!G14:I14)</x:f>
        <x:v>19.0853</x:v>
      </x:c>
      <x:c r="E8" s="14" t="str">
        <x:f>IF(COUNT('Raw_Ct'!D17:F17)=0,"ND",AVERAGE('Raw_Ct'!D17:F17))</x:f>
        <x:v>ND</x:v>
      </x:c>
      <x:c r="F8" s="14" t="n">
        <x:f>AVERAGE('Raw_Ct'!G17:I17)</x:f>
        <x:v>26.124633333333332</x:v>
      </x:c>
      <x:c r="G8" s="14" t="str">
        <x:f>IF(C8="ND","ND",C8-D8)</x:f>
        <x:v>ND</x:v>
      </x:c>
      <x:c r="H8" s="14" t="str">
        <x:f>IF(E8="ND","ND",E8-F8)</x:f>
        <x:v>ND</x:v>
      </x:c>
      <x:c r="I8" s="14" t="str">
        <x:f>IF(OR(G8="ND",H8="ND"),"ND",H8-G8)</x:f>
        <x:v>ND</x:v>
      </x:c>
      <x:c r="J8" s="14" t="str">
        <x:f>IF(I8="ND","ND",-I8)</x:f>
        <x:v>ND</x:v>
      </x:c>
      <x:c r="K8" s="15" t="str">
        <x:f>IF(C8="ND","Not detected","Detected")</x:f>
        <x:v>Not detected</x:v>
      </x:c>
      <x:c r="L8" s="15" t="str">
        <x:f>IF(E8="ND","Not detected","Detected")</x:f>
        <x:v>Not detected</x:v>
      </x:c>
    </x:row>
    <x:row r="9" ht="20" customHeight="1">
      <x:c r="A9" s="13" t="str">
        <x:v>hsa_circ_0001703</x:v>
      </x:c>
      <x:c r="B9" s="13" t="n">
        <x:v>2</x:v>
      </x:c>
      <x:c r="C9" s="14" t="str">
        <x:f>IF(COUNT('Raw_Ct'!D15:F15)=0,"ND",AVERAGE('Raw_Ct'!D15:F15))</x:f>
        <x:v>ND</x:v>
      </x:c>
      <x:c r="D9" s="14" t="n">
        <x:f>AVERAGE('Raw_Ct'!G15:I15)</x:f>
        <x:v>19.067033333333335</x:v>
      </x:c>
      <x:c r="E9" s="14" t="str">
        <x:f>IF(COUNT('Raw_Ct'!D18:F18)=0,"ND",AVERAGE('Raw_Ct'!D18:F18))</x:f>
        <x:v>ND</x:v>
      </x:c>
      <x:c r="F9" s="14" t="n">
        <x:f>AVERAGE('Raw_Ct'!G18:I18)</x:f>
        <x:v>26.064166666666665</x:v>
      </x:c>
      <x:c r="G9" s="14" t="str">
        <x:f>IF(C9="ND","ND",C9-D9)</x:f>
        <x:v>ND</x:v>
      </x:c>
      <x:c r="H9" s="14" t="str">
        <x:f>IF(E9="ND","ND",E9-F9)</x:f>
        <x:v>ND</x:v>
      </x:c>
      <x:c r="I9" s="14" t="str">
        <x:f>IF(OR(G9="ND",H9="ND"),"ND",H9-G9)</x:f>
        <x:v>ND</x:v>
      </x:c>
      <x:c r="J9" s="14" t="str">
        <x:f>IF(I9="ND","ND",-I9)</x:f>
        <x:v>ND</x:v>
      </x:c>
      <x:c r="K9" s="15" t="str">
        <x:f>IF(C9="ND","Not detected","Detected")</x:f>
        <x:v>Not detected</x:v>
      </x:c>
      <x:c r="L9" s="15" t="str">
        <x:f>IF(E9="ND","Not detected","Detected")</x:f>
        <x:v>Not detected</x:v>
      </x:c>
    </x:row>
    <x:row r="10" ht="20" customHeight="1">
      <x:c r="A10" s="13" t="str">
        <x:v>hsa_circ_0001703</x:v>
      </x:c>
      <x:c r="B10" s="13" t="n">
        <x:v>3</x:v>
      </x:c>
      <x:c r="C10" s="14" t="str">
        <x:f>IF(COUNT('Raw_Ct'!D16:F16)=0,"ND",AVERAGE('Raw_Ct'!D16:F16))</x:f>
        <x:v>ND</x:v>
      </x:c>
      <x:c r="D10" s="14" t="n">
        <x:f>AVERAGE('Raw_Ct'!G16:I16)</x:f>
        <x:v>19.04083333333333</x:v>
      </x:c>
      <x:c r="E10" s="14" t="str">
        <x:f>IF(COUNT('Raw_Ct'!D19:F19)=0,"ND",AVERAGE('Raw_Ct'!D19:F19))</x:f>
        <x:v>ND</x:v>
      </x:c>
      <x:c r="F10" s="14" t="n">
        <x:f>AVERAGE('Raw_Ct'!G19:I19)</x:f>
        <x:v>26.077866666666665</x:v>
      </x:c>
      <x:c r="G10" s="14" t="str">
        <x:f>IF(C10="ND","ND",C10-D10)</x:f>
        <x:v>ND</x:v>
      </x:c>
      <x:c r="H10" s="14" t="str">
        <x:f>IF(E10="ND","ND",E10-F10)</x:f>
        <x:v>ND</x:v>
      </x:c>
      <x:c r="I10" s="14" t="str">
        <x:f>IF(OR(G10="ND",H10="ND"),"ND",H10-G10)</x:f>
        <x:v>ND</x:v>
      </x:c>
      <x:c r="J10" s="14" t="str">
        <x:f>IF(I10="ND","ND",-I10)</x:f>
        <x:v>ND</x:v>
      </x:c>
      <x:c r="K10" s="15" t="str">
        <x:f>IF(C10="ND","Not detected","Detected")</x:f>
        <x:v>Not detected</x:v>
      </x:c>
      <x:c r="L10" s="15" t="str">
        <x:f>IF(E10="ND","Not detected","Detected")</x:f>
        <x:v>Not detected</x:v>
      </x:c>
    </x:row>
    <x:row r="11" ht="20" customHeight="1">
      <x:c r="A11" s="13" t="str">
        <x:v>hsa_circ_0000253</x:v>
      </x:c>
      <x:c r="B11" s="13" t="n">
        <x:v>1</x:v>
      </x:c>
      <x:c r="C11" s="14" t="n">
        <x:f>IF(COUNT('Raw_Ct'!D20:F20)=0,"ND",AVERAGE('Raw_Ct'!D20:F20))</x:f>
        <x:v>33.2846</x:v>
      </x:c>
      <x:c r="D11" s="14" t="n">
        <x:f>AVERAGE('Raw_Ct'!G20:I20)</x:f>
        <x:v>19.0853</x:v>
      </x:c>
      <x:c r="E11" s="14" t="n">
        <x:f>IF(COUNT('Raw_Ct'!D23:F23)=0,"ND",AVERAGE('Raw_Ct'!D23:F23))</x:f>
        <x:v>25.0621</x:v>
      </x:c>
      <x:c r="F11" s="14" t="n">
        <x:f>AVERAGE('Raw_Ct'!G23:I23)</x:f>
        <x:v>26.124633333333332</x:v>
      </x:c>
      <x:c r="G11" s="14" t="n">
        <x:f>IF(C11="ND","ND",C11-D11)</x:f>
        <x:v>14.199299999999997</x:v>
      </x:c>
      <x:c r="H11" s="14" t="n">
        <x:f>IF(E11="ND","ND",E11-F11)</x:f>
        <x:v>-1.0625333333333309</x:v>
      </x:c>
      <x:c r="I11" s="14" t="n">
        <x:f>IF(OR(G11="ND",H11="ND"),"ND",H11-G11)</x:f>
        <x:v>-15.261833333333328</x:v>
      </x:c>
      <x:c r="J11" s="14" t="n">
        <x:f>IF(I11="ND","ND",-I11)</x:f>
        <x:v>15.261833333333328</x:v>
      </x:c>
      <x:c r="K11" s="15" t="str">
        <x:f>IF(C11="ND","Not detected","Detected")</x:f>
        <x:v>Detected</x:v>
      </x:c>
      <x:c r="L11" s="15" t="str">
        <x:f>IF(E11="ND","Not detected","Detected")</x:f>
        <x:v>Detected</x:v>
      </x:c>
    </x:row>
    <x:row r="12" ht="20" customHeight="1">
      <x:c r="A12" s="13" t="str">
        <x:v>hsa_circ_0000253</x:v>
      </x:c>
      <x:c r="B12" s="13" t="n">
        <x:v>2</x:v>
      </x:c>
      <x:c r="C12" s="14" t="n">
        <x:f>IF(COUNT('Raw_Ct'!D21:F21)=0,"ND",AVERAGE('Raw_Ct'!D21:F21))</x:f>
        <x:v>34.9326</x:v>
      </x:c>
      <x:c r="D12" s="14" t="n">
        <x:f>AVERAGE('Raw_Ct'!G21:I21)</x:f>
        <x:v>19.067033333333335</x:v>
      </x:c>
      <x:c r="E12" s="14" t="n">
        <x:f>IF(COUNT('Raw_Ct'!D24:F24)=0,"ND",AVERAGE('Raw_Ct'!D24:F24))</x:f>
        <x:v>24.976066666666668</x:v>
      </x:c>
      <x:c r="F12" s="14" t="n">
        <x:f>AVERAGE('Raw_Ct'!G24:I24)</x:f>
        <x:v>26.064166666666665</x:v>
      </x:c>
      <x:c r="G12" s="14" t="n">
        <x:f>IF(C12="ND","ND",C12-D12)</x:f>
        <x:v>15.865566666666666</x:v>
      </x:c>
      <x:c r="H12" s="14" t="n">
        <x:f>IF(E12="ND","ND",E12-F12)</x:f>
        <x:v>-1.0880999999999972</x:v>
      </x:c>
      <x:c r="I12" s="14" t="n">
        <x:f>IF(OR(G12="ND",H12="ND"),"ND",H12-G12)</x:f>
        <x:v>-16.953666666666663</x:v>
      </x:c>
      <x:c r="J12" s="14" t="n">
        <x:f>IF(I12="ND","ND",-I12)</x:f>
        <x:v>16.953666666666663</x:v>
      </x:c>
      <x:c r="K12" s="15" t="str">
        <x:f>IF(C12="ND","Not detected","Detected")</x:f>
        <x:v>Detected</x:v>
      </x:c>
      <x:c r="L12" s="15" t="str">
        <x:f>IF(E12="ND","Not detected","Detected")</x:f>
        <x:v>Detected</x:v>
      </x:c>
    </x:row>
    <x:row r="13" ht="20" customHeight="1">
      <x:c r="A13" s="13" t="str">
        <x:v>hsa_circ_0000253</x:v>
      </x:c>
      <x:c r="B13" s="13" t="n">
        <x:v>3</x:v>
      </x:c>
      <x:c r="C13" s="14" t="n">
        <x:f>IF(COUNT('Raw_Ct'!D22:F22)=0,"ND",AVERAGE('Raw_Ct'!D22:F22))</x:f>
        <x:v>32.488166666666665</x:v>
      </x:c>
      <x:c r="D13" s="14" t="n">
        <x:f>AVERAGE('Raw_Ct'!G22:I22)</x:f>
        <x:v>19.04083333333333</x:v>
      </x:c>
      <x:c r="E13" s="14" t="n">
        <x:f>IF(COUNT('Raw_Ct'!D25:F25)=0,"ND",AVERAGE('Raw_Ct'!D25:F25))</x:f>
        <x:v>25.076666666666668</x:v>
      </x:c>
      <x:c r="F13" s="14" t="n">
        <x:f>AVERAGE('Raw_Ct'!G25:I25)</x:f>
        <x:v>26.077866666666665</x:v>
      </x:c>
      <x:c r="G13" s="14" t="n">
        <x:f>IF(C13="ND","ND",C13-D13)</x:f>
        <x:v>13.447333333333333</x:v>
      </x:c>
      <x:c r="H13" s="14" t="n">
        <x:f>IF(E13="ND","ND",E13-F13)</x:f>
        <x:v>-1.0011999999999972</x:v>
      </x:c>
      <x:c r="I13" s="14" t="n">
        <x:f>IF(OR(G13="ND",H13="ND"),"ND",H13-G13)</x:f>
        <x:v>-14.44853333333333</x:v>
      </x:c>
      <x:c r="J13" s="14" t="n">
        <x:f>IF(I13="ND","ND",-I13)</x:f>
        <x:v>14.44853333333333</x:v>
      </x:c>
      <x:c r="K13" s="15" t="str">
        <x:f>IF(C13="ND","Not detected","Detected")</x:f>
        <x:v>Detected</x:v>
      </x:c>
      <x:c r="L13" s="15" t="str">
        <x:f>IF(E13="ND","Not detected","Detected")</x:f>
        <x:v>Detected</x:v>
      </x:c>
    </x:row>
    <x:row r="14" ht="20" customHeight="1">
      <x:c r="A14" s="13" t="str">
        <x:v>hsa_circ_0000036</x:v>
      </x:c>
      <x:c r="B14" s="13" t="n">
        <x:v>1</x:v>
      </x:c>
      <x:c r="C14" s="14" t="n">
        <x:f>IF(COUNT('Raw_Ct'!D26:F26)=0,"ND",AVERAGE('Raw_Ct'!D26:F26))</x:f>
        <x:v>33.1675</x:v>
      </x:c>
      <x:c r="D14" s="14" t="n">
        <x:f>AVERAGE('Raw_Ct'!G26:I26)</x:f>
        <x:v>19.0853</x:v>
      </x:c>
      <x:c r="E14" s="14" t="n">
        <x:f>IF(COUNT('Raw_Ct'!D29:F29)=0,"ND",AVERAGE('Raw_Ct'!D29:F29))</x:f>
        <x:v>22.02756666666667</x:v>
      </x:c>
      <x:c r="F14" s="14" t="n">
        <x:f>AVERAGE('Raw_Ct'!G29:I29)</x:f>
        <x:v>26.124633333333332</x:v>
      </x:c>
      <x:c r="G14" s="14" t="n">
        <x:f>IF(C14="ND","ND",C14-D14)</x:f>
        <x:v>14.082199999999997</x:v>
      </x:c>
      <x:c r="H14" s="14" t="n">
        <x:f>IF(E14="ND","ND",E14-F14)</x:f>
        <x:v>-4.097066666666663</x:v>
      </x:c>
      <x:c r="I14" s="14" t="n">
        <x:f>IF(OR(G14="ND",H14="ND"),"ND",H14-G14)</x:f>
        <x:v>-18.17926666666666</x:v>
      </x:c>
      <x:c r="J14" s="14" t="n">
        <x:f>IF(I14="ND","ND",-I14)</x:f>
        <x:v>18.17926666666666</x:v>
      </x:c>
      <x:c r="K14" s="15" t="str">
        <x:f>IF(C14="ND","Not detected","Detected")</x:f>
        <x:v>Detected</x:v>
      </x:c>
      <x:c r="L14" s="15" t="str">
        <x:f>IF(E14="ND","Not detected","Detected")</x:f>
        <x:v>Detected</x:v>
      </x:c>
    </x:row>
    <x:row r="15" ht="20" customHeight="1">
      <x:c r="A15" s="13" t="str">
        <x:v>hsa_circ_0000036</x:v>
      </x:c>
      <x:c r="B15" s="13" t="n">
        <x:v>2</x:v>
      </x:c>
      <x:c r="C15" s="14" t="str">
        <x:f>IF(COUNT('Raw_Ct'!D27:F27)=0,"ND",AVERAGE('Raw_Ct'!D27:F27))</x:f>
        <x:v>ND</x:v>
      </x:c>
      <x:c r="D15" s="14" t="n">
        <x:f>AVERAGE('Raw_Ct'!G27:I27)</x:f>
        <x:v>19.067033333333335</x:v>
      </x:c>
      <x:c r="E15" s="14" t="n">
        <x:f>IF(COUNT('Raw_Ct'!D30:F30)=0,"ND",AVERAGE('Raw_Ct'!D30:F30))</x:f>
        <x:v>22.0511</x:v>
      </x:c>
      <x:c r="F15" s="14" t="n">
        <x:f>AVERAGE('Raw_Ct'!G30:I30)</x:f>
        <x:v>26.064166666666665</x:v>
      </x:c>
      <x:c r="G15" s="14" t="str">
        <x:f>IF(C15="ND","ND",C15-D15)</x:f>
        <x:v>ND</x:v>
      </x:c>
      <x:c r="H15" s="14" t="n">
        <x:f>IF(E15="ND","ND",E15-F15)</x:f>
        <x:v>-4.0130666666666635</x:v>
      </x:c>
      <x:c r="I15" s="14" t="str">
        <x:f>IF(OR(G15="ND",H15="ND"),"ND",H15-G15)</x:f>
        <x:v>ND</x:v>
      </x:c>
      <x:c r="J15" s="14" t="str">
        <x:f>IF(I15="ND","ND",-I15)</x:f>
        <x:v>ND</x:v>
      </x:c>
      <x:c r="K15" s="15" t="str">
        <x:f>IF(C15="ND","Not detected","Detected")</x:f>
        <x:v>Not detected</x:v>
      </x:c>
      <x:c r="L15" s="15" t="str">
        <x:f>IF(E15="ND","Not detected","Detected")</x:f>
        <x:v>Detected</x:v>
      </x:c>
    </x:row>
    <x:row r="16" ht="20" customHeight="1">
      <x:c r="A16" s="13" t="str">
        <x:v>hsa_circ_0000036</x:v>
      </x:c>
      <x:c r="B16" s="13" t="n">
        <x:v>3</x:v>
      </x:c>
      <x:c r="C16" s="14" t="n">
        <x:f>IF(COUNT('Raw_Ct'!D28:F28)=0,"ND",AVERAGE('Raw_Ct'!D28:F28))</x:f>
        <x:v>31.94605</x:v>
      </x:c>
      <x:c r="D16" s="14" t="n">
        <x:f>AVERAGE('Raw_Ct'!G28:I28)</x:f>
        <x:v>19.04083333333333</x:v>
      </x:c>
      <x:c r="E16" s="14" t="n">
        <x:f>IF(COUNT('Raw_Ct'!D31:F31)=0,"ND",AVERAGE('Raw_Ct'!D31:F31))</x:f>
        <x:v>22.101699999999997</x:v>
      </x:c>
      <x:c r="F16" s="14" t="n">
        <x:f>AVERAGE('Raw_Ct'!G31:I31)</x:f>
        <x:v>26.077866666666665</x:v>
      </x:c>
      <x:c r="G16" s="14" t="n">
        <x:f>IF(C16="ND","ND",C16-D16)</x:f>
        <x:v>12.905216666666668</x:v>
      </x:c>
      <x:c r="H16" s="14" t="n">
        <x:f>IF(E16="ND","ND",E16-F16)</x:f>
        <x:v>-3.9761666666666677</x:v>
      </x:c>
      <x:c r="I16" s="14" t="n">
        <x:f>IF(OR(G16="ND",H16="ND"),"ND",H16-G16)</x:f>
        <x:v>-16.881383333333336</x:v>
      </x:c>
      <x:c r="J16" s="14" t="n">
        <x:f>IF(I16="ND","ND",-I16)</x:f>
        <x:v>16.881383333333336</x:v>
      </x:c>
      <x:c r="K16" s="15" t="str">
        <x:f>IF(C16="ND","Not detected","Detected")</x:f>
        <x:v>Detected</x:v>
      </x:c>
      <x:c r="L16" s="15" t="str">
        <x:f>IF(E16="ND","Not detected","Detected")</x:f>
        <x:v>Detected</x:v>
      </x:c>
    </x:row>
    <x:row r="17" ht="20" customHeight="1">
      <x:c r="A17" s="13" t="str">
        <x:v>hsa_circ_0000658</x:v>
      </x:c>
      <x:c r="B17" s="13" t="n">
        <x:v>1</x:v>
      </x:c>
      <x:c r="C17" s="14" t="n">
        <x:f>IF(COUNT('Raw_Ct'!D32:F32)=0,"ND",AVERAGE('Raw_Ct'!D32:F32))</x:f>
        <x:v>33.3132</x:v>
      </x:c>
      <x:c r="D17" s="14" t="n">
        <x:f>AVERAGE('Raw_Ct'!G32:I32)</x:f>
        <x:v>19.0853</x:v>
      </x:c>
      <x:c r="E17" s="14" t="n">
        <x:f>IF(COUNT('Raw_Ct'!D35:F35)=0,"ND",AVERAGE('Raw_Ct'!D35:F35))</x:f>
        <x:v>26.200833333333335</x:v>
      </x:c>
      <x:c r="F17" s="14" t="n">
        <x:f>AVERAGE('Raw_Ct'!G35:I35)</x:f>
        <x:v>26.124633333333332</x:v>
      </x:c>
      <x:c r="G17" s="14" t="n">
        <x:f>IF(C17="ND","ND",C17-D17)</x:f>
        <x:v>14.227900000000002</x:v>
      </x:c>
      <x:c r="H17" s="14" t="n">
        <x:f>IF(E17="ND","ND",E17-F17)</x:f>
        <x:v>0.0762000000000036</x:v>
      </x:c>
      <x:c r="I17" s="14" t="n">
        <x:f>IF(OR(G17="ND",H17="ND"),"ND",H17-G17)</x:f>
        <x:v>-14.151699999999998</x:v>
      </x:c>
      <x:c r="J17" s="14" t="n">
        <x:f>IF(I17="ND","ND",-I17)</x:f>
        <x:v>14.151699999999998</x:v>
      </x:c>
      <x:c r="K17" s="15" t="str">
        <x:f>IF(C17="ND","Not detected","Detected")</x:f>
        <x:v>Detected</x:v>
      </x:c>
      <x:c r="L17" s="15" t="str">
        <x:f>IF(E17="ND","Not detected","Detected")</x:f>
        <x:v>Detected</x:v>
      </x:c>
    </x:row>
    <x:row r="18" ht="20" customHeight="1">
      <x:c r="A18" s="13" t="str">
        <x:v>hsa_circ_0000658</x:v>
      </x:c>
      <x:c r="B18" s="13" t="n">
        <x:v>2</x:v>
      </x:c>
      <x:c r="C18" s="14" t="n">
        <x:f>IF(COUNT('Raw_Ct'!D33:F33)=0,"ND",AVERAGE('Raw_Ct'!D33:F33))</x:f>
        <x:v>32.69976666666667</x:v>
      </x:c>
      <x:c r="D18" s="14" t="n">
        <x:f>AVERAGE('Raw_Ct'!G33:I33)</x:f>
        <x:v>19.067033333333335</x:v>
      </x:c>
      <x:c r="E18" s="14" t="n">
        <x:f>IF(COUNT('Raw_Ct'!D36:F36)=0,"ND",AVERAGE('Raw_Ct'!D36:F36))</x:f>
        <x:v>26.1384</x:v>
      </x:c>
      <x:c r="F18" s="14" t="n">
        <x:f>AVERAGE('Raw_Ct'!G36:I36)</x:f>
        <x:v>26.064166666666665</x:v>
      </x:c>
      <x:c r="G18" s="14" t="n">
        <x:f>IF(C18="ND","ND",C18-D18)</x:f>
        <x:v>13.632733333333334</x:v>
      </x:c>
      <x:c r="H18" s="14" t="n">
        <x:f>IF(E18="ND","ND",E18-F18)</x:f>
        <x:v>0.0742333333333356</x:v>
      </x:c>
      <x:c r="I18" s="14" t="n">
        <x:f>IF(OR(G18="ND",H18="ND"),"ND",H18-G18)</x:f>
        <x:v>-13.558499999999999</x:v>
      </x:c>
      <x:c r="J18" s="14" t="n">
        <x:f>IF(I18="ND","ND",-I18)</x:f>
        <x:v>13.558499999999999</x:v>
      </x:c>
      <x:c r="K18" s="15" t="str">
        <x:f>IF(C18="ND","Not detected","Detected")</x:f>
        <x:v>Detected</x:v>
      </x:c>
      <x:c r="L18" s="15" t="str">
        <x:f>IF(E18="ND","Not detected","Detected")</x:f>
        <x:v>Detected</x:v>
      </x:c>
    </x:row>
    <x:row r="19" ht="20" customHeight="1">
      <x:c r="A19" s="13" t="str">
        <x:v>hsa_circ_0000658</x:v>
      </x:c>
      <x:c r="B19" s="13" t="n">
        <x:v>3</x:v>
      </x:c>
      <x:c r="C19" s="14" t="n">
        <x:f>IF(COUNT('Raw_Ct'!D34:F34)=0,"ND",AVERAGE('Raw_Ct'!D34:F34))</x:f>
        <x:v>34.09296666666666</x:v>
      </x:c>
      <x:c r="D19" s="14" t="n">
        <x:f>AVERAGE('Raw_Ct'!G34:I34)</x:f>
        <x:v>19.04083333333333</x:v>
      </x:c>
      <x:c r="E19" s="14" t="n">
        <x:f>IF(COUNT('Raw_Ct'!D37:F37)=0,"ND",AVERAGE('Raw_Ct'!D37:F37))</x:f>
        <x:v>26.076766666666668</x:v>
      </x:c>
      <x:c r="F19" s="14" t="n">
        <x:f>AVERAGE('Raw_Ct'!G37:I37)</x:f>
        <x:v>26.077866666666665</x:v>
      </x:c>
      <x:c r="G19" s="14" t="n">
        <x:f>IF(C19="ND","ND",C19-D19)</x:f>
        <x:v>15.05213333333333</x:v>
      </x:c>
      <x:c r="H19" s="14" t="n">
        <x:f>IF(E19="ND","ND",E19-F19)</x:f>
        <x:v>-0.0010999999999974364</x:v>
      </x:c>
      <x:c r="I19" s="14" t="n">
        <x:f>IF(OR(G19="ND",H19="ND"),"ND",H19-G19)</x:f>
        <x:v>-15.053233333333328</x:v>
      </x:c>
      <x:c r="J19" s="14" t="n">
        <x:f>IF(I19="ND","ND",-I19)</x:f>
        <x:v>15.053233333333328</x:v>
      </x:c>
      <x:c r="K19" s="15" t="str">
        <x:f>IF(C19="ND","Not detected","Detected")</x:f>
        <x:v>Detected</x:v>
      </x:c>
      <x:c r="L19" s="15" t="str">
        <x:f>IF(E19="ND","Not detected","Detected")</x:f>
        <x:v>Detected</x:v>
      </x:c>
    </x:row>
    <x:row r="20" ht="20" customHeight="1">
      <x:c r="A20" s="13" t="str">
        <x:v>hsa_circ_0004623</x:v>
      </x:c>
      <x:c r="B20" s="13" t="n">
        <x:v>1</x:v>
      </x:c>
      <x:c r="C20" s="14" t="n">
        <x:f>IF(COUNT('Raw_Ct'!D38:F38)=0,"ND",AVERAGE('Raw_Ct'!D38:F38))</x:f>
        <x:v>35.0708</x:v>
      </x:c>
      <x:c r="D20" s="14" t="n">
        <x:f>AVERAGE('Raw_Ct'!G38:I38)</x:f>
        <x:v>19.0853</x:v>
      </x:c>
      <x:c r="E20" s="14" t="n">
        <x:f>IF(COUNT('Raw_Ct'!D41:F41)=0,"ND",AVERAGE('Raw_Ct'!D41:F41))</x:f>
        <x:v>35.70943333333333</x:v>
      </x:c>
      <x:c r="F20" s="14" t="n">
        <x:f>AVERAGE('Raw_Ct'!G41:I41)</x:f>
        <x:v>26.124633333333332</x:v>
      </x:c>
      <x:c r="G20" s="14" t="n">
        <x:f>IF(C20="ND","ND",C20-D20)</x:f>
        <x:v>15.985499999999998</x:v>
      </x:c>
      <x:c r="H20" s="14" t="n">
        <x:f>IF(E20="ND","ND",E20-F20)</x:f>
        <x:v>9.584799999999998</x:v>
      </x:c>
      <x:c r="I20" s="14" t="n">
        <x:f>IF(OR(G20="ND",H20="ND"),"ND",H20-G20)</x:f>
        <x:v>-6.4007000000000005</x:v>
      </x:c>
      <x:c r="J20" s="14" t="n">
        <x:f>IF(I20="ND","ND",-I20)</x:f>
        <x:v>6.4007000000000005</x:v>
      </x:c>
      <x:c r="K20" s="15" t="str">
        <x:f>IF(C20="ND","Not detected","Detected")</x:f>
        <x:v>Detected</x:v>
      </x:c>
      <x:c r="L20" s="15" t="str">
        <x:f>IF(E20="ND","Not detected","Detected")</x:f>
        <x:v>Detected</x:v>
      </x:c>
    </x:row>
    <x:row r="21" ht="20" customHeight="1">
      <x:c r="A21" s="13" t="str">
        <x:v>hsa_circ_0004623</x:v>
      </x:c>
      <x:c r="B21" s="13" t="n">
        <x:v>2</x:v>
      </x:c>
      <x:c r="C21" s="14" t="str">
        <x:f>IF(COUNT('Raw_Ct'!D39:F39)=0,"ND",AVERAGE('Raw_Ct'!D39:F39))</x:f>
        <x:v>ND</x:v>
      </x:c>
      <x:c r="D21" s="14" t="n">
        <x:f>AVERAGE('Raw_Ct'!G39:I39)</x:f>
        <x:v>19.067033333333335</x:v>
      </x:c>
      <x:c r="E21" s="14" t="n">
        <x:f>IF(COUNT('Raw_Ct'!D42:F42)=0,"ND",AVERAGE('Raw_Ct'!D42:F42))</x:f>
        <x:v>35.80413333333333</x:v>
      </x:c>
      <x:c r="F21" s="14" t="n">
        <x:f>AVERAGE('Raw_Ct'!G42:I42)</x:f>
        <x:v>26.064166666666665</x:v>
      </x:c>
      <x:c r="G21" s="14" t="str">
        <x:f>IF(C21="ND","ND",C21-D21)</x:f>
        <x:v>ND</x:v>
      </x:c>
      <x:c r="H21" s="14" t="n">
        <x:f>IF(E21="ND","ND",E21-F21)</x:f>
        <x:v>9.739966666666668</x:v>
      </x:c>
      <x:c r="I21" s="14" t="str">
        <x:f>IF(OR(G21="ND",H21="ND"),"ND",H21-G21)</x:f>
        <x:v>ND</x:v>
      </x:c>
      <x:c r="J21" s="14" t="str">
        <x:f>IF(I21="ND","ND",-I21)</x:f>
        <x:v>ND</x:v>
      </x:c>
      <x:c r="K21" s="15" t="str">
        <x:f>IF(C21="ND","Not detected","Detected")</x:f>
        <x:v>Not detected</x:v>
      </x:c>
      <x:c r="L21" s="15" t="str">
        <x:f>IF(E21="ND","Not detected","Detected")</x:f>
        <x:v>Detected</x:v>
      </x:c>
    </x:row>
    <x:row r="22" ht="20" customHeight="1">
      <x:c r="A22" s="13" t="str">
        <x:v>hsa_circ_0004623</x:v>
      </x:c>
      <x:c r="B22" s="13" t="n">
        <x:v>3</x:v>
      </x:c>
      <x:c r="C22" s="14" t="str">
        <x:f>IF(COUNT('Raw_Ct'!D40:F40)=0,"ND",AVERAGE('Raw_Ct'!D40:F40))</x:f>
        <x:v>ND</x:v>
      </x:c>
      <x:c r="D22" s="14" t="n">
        <x:f>AVERAGE('Raw_Ct'!G40:I40)</x:f>
        <x:v>19.04083333333333</x:v>
      </x:c>
      <x:c r="E22" s="14" t="n">
        <x:f>IF(COUNT('Raw_Ct'!D43:F43)=0,"ND",AVERAGE('Raw_Ct'!D43:F43))</x:f>
        <x:v>36.69546666666667</x:v>
      </x:c>
      <x:c r="F22" s="14" t="n">
        <x:f>AVERAGE('Raw_Ct'!G43:I43)</x:f>
        <x:v>26.077866666666665</x:v>
      </x:c>
      <x:c r="G22" s="14" t="str">
        <x:f>IF(C22="ND","ND",C22-D22)</x:f>
        <x:v>ND</x:v>
      </x:c>
      <x:c r="H22" s="14" t="n">
        <x:f>IF(E22="ND","ND",E22-F22)</x:f>
        <x:v>10.617600000000003</x:v>
      </x:c>
      <x:c r="I22" s="14" t="str">
        <x:f>IF(OR(G22="ND",H22="ND"),"ND",H22-G22)</x:f>
        <x:v>ND</x:v>
      </x:c>
      <x:c r="J22" s="14" t="str">
        <x:f>IF(I22="ND","ND",-I22)</x:f>
        <x:v>ND</x:v>
      </x:c>
      <x:c r="K22" s="15" t="str">
        <x:f>IF(C22="ND","Not detected","Detected")</x:f>
        <x:v>Not detected</x:v>
      </x:c>
      <x:c r="L22" s="15" t="str">
        <x:f>IF(E22="ND","Not detected","Detected")</x:f>
        <x:v>Detected</x:v>
      </x:c>
    </x:row>
    <x:row r="23" ht="20" customHeight="1">
      <x:c r="A23" s="13" t="str">
        <x:v>hsa_circ_0084443</x:v>
      </x:c>
      <x:c r="B23" s="13" t="n">
        <x:v>1</x:v>
      </x:c>
      <x:c r="C23" s="14" t="str">
        <x:f>IF(COUNT('Raw_Ct'!D44:F44)=0,"ND",AVERAGE('Raw_Ct'!D44:F44))</x:f>
        <x:v>ND</x:v>
      </x:c>
      <x:c r="D23" s="14" t="n">
        <x:f>AVERAGE('Raw_Ct'!G44:I44)</x:f>
        <x:v>19.0853</x:v>
      </x:c>
      <x:c r="E23" s="14" t="n">
        <x:f>IF(COUNT('Raw_Ct'!D47:F47)=0,"ND",AVERAGE('Raw_Ct'!D47:F47))</x:f>
        <x:v>33.45590000000001</x:v>
      </x:c>
      <x:c r="F23" s="14" t="n">
        <x:f>AVERAGE('Raw_Ct'!G47:I47)</x:f>
        <x:v>26.124633333333332</x:v>
      </x:c>
      <x:c r="G23" s="14" t="str">
        <x:f>IF(C23="ND","ND",C23-D23)</x:f>
        <x:v>ND</x:v>
      </x:c>
      <x:c r="H23" s="14" t="n">
        <x:f>IF(E23="ND","ND",E23-F23)</x:f>
        <x:v>7.331266666666675</x:v>
      </x:c>
      <x:c r="I23" s="14" t="str">
        <x:f>IF(OR(G23="ND",H23="ND"),"ND",H23-G23)</x:f>
        <x:v>ND</x:v>
      </x:c>
      <x:c r="J23" s="14" t="str">
        <x:f>IF(I23="ND","ND",-I23)</x:f>
        <x:v>ND</x:v>
      </x:c>
      <x:c r="K23" s="15" t="str">
        <x:f>IF(C23="ND","Not detected","Detected")</x:f>
        <x:v>Not detected</x:v>
      </x:c>
      <x:c r="L23" s="15" t="str">
        <x:f>IF(E23="ND","Not detected","Detected")</x:f>
        <x:v>Detected</x:v>
      </x:c>
    </x:row>
    <x:row r="24" ht="20" customHeight="1">
      <x:c r="A24" s="13" t="str">
        <x:v>hsa_circ_0084443</x:v>
      </x:c>
      <x:c r="B24" s="13" t="n">
        <x:v>2</x:v>
      </x:c>
      <x:c r="C24" s="14" t="str">
        <x:f>IF(COUNT('Raw_Ct'!D45:F45)=0,"ND",AVERAGE('Raw_Ct'!D45:F45))</x:f>
        <x:v>ND</x:v>
      </x:c>
      <x:c r="D24" s="14" t="n">
        <x:f>AVERAGE('Raw_Ct'!G45:I45)</x:f>
        <x:v>19.067033333333335</x:v>
      </x:c>
      <x:c r="E24" s="14" t="n">
        <x:f>IF(COUNT('Raw_Ct'!D48:F48)=0,"ND",AVERAGE('Raw_Ct'!D48:F48))</x:f>
        <x:v>34.57876666666667</x:v>
      </x:c>
      <x:c r="F24" s="14" t="n">
        <x:f>AVERAGE('Raw_Ct'!G48:I48)</x:f>
        <x:v>26.064166666666665</x:v>
      </x:c>
      <x:c r="G24" s="14" t="str">
        <x:f>IF(C24="ND","ND",C24-D24)</x:f>
        <x:v>ND</x:v>
      </x:c>
      <x:c r="H24" s="14" t="n">
        <x:f>IF(E24="ND","ND",E24-F24)</x:f>
        <x:v>8.514600000000002</x:v>
      </x:c>
      <x:c r="I24" s="14" t="str">
        <x:f>IF(OR(G24="ND",H24="ND"),"ND",H24-G24)</x:f>
        <x:v>ND</x:v>
      </x:c>
      <x:c r="J24" s="14" t="str">
        <x:f>IF(I24="ND","ND",-I24)</x:f>
        <x:v>ND</x:v>
      </x:c>
      <x:c r="K24" s="15" t="str">
        <x:f>IF(C24="ND","Not detected","Detected")</x:f>
        <x:v>Not detected</x:v>
      </x:c>
      <x:c r="L24" s="15" t="str">
        <x:f>IF(E24="ND","Not detected","Detected")</x:f>
        <x:v>Detected</x:v>
      </x:c>
    </x:row>
    <x:row r="25" ht="20" customHeight="1">
      <x:c r="A25" s="13" t="str">
        <x:v>hsa_circ_0084443</x:v>
      </x:c>
      <x:c r="B25" s="13" t="n">
        <x:v>3</x:v>
      </x:c>
      <x:c r="C25" s="14" t="str">
        <x:f>IF(COUNT('Raw_Ct'!D46:F46)=0,"ND",AVERAGE('Raw_Ct'!D46:F46))</x:f>
        <x:v>ND</x:v>
      </x:c>
      <x:c r="D25" s="14" t="n">
        <x:f>AVERAGE('Raw_Ct'!G46:I46)</x:f>
        <x:v>19.04083333333333</x:v>
      </x:c>
      <x:c r="E25" s="14" t="n">
        <x:f>IF(COUNT('Raw_Ct'!D49:F49)=0,"ND",AVERAGE('Raw_Ct'!D49:F49))</x:f>
        <x:v>34.2388</x:v>
      </x:c>
      <x:c r="F25" s="14" t="n">
        <x:f>AVERAGE('Raw_Ct'!G49:I49)</x:f>
        <x:v>26.077866666666665</x:v>
      </x:c>
      <x:c r="G25" s="14" t="str">
        <x:f>IF(C25="ND","ND",C25-D25)</x:f>
        <x:v>ND</x:v>
      </x:c>
      <x:c r="H25" s="14" t="n">
        <x:f>IF(E25="ND","ND",E25-F25)</x:f>
        <x:v>8.160933333333332</x:v>
      </x:c>
      <x:c r="I25" s="14" t="str">
        <x:f>IF(OR(G25="ND",H25="ND"),"ND",H25-G25)</x:f>
        <x:v>ND</x:v>
      </x:c>
      <x:c r="J25" s="14" t="str">
        <x:f>IF(I25="ND","ND",-I25)</x:f>
        <x:v>ND</x:v>
      </x:c>
      <x:c r="K25" s="15" t="str">
        <x:f>IF(C25="ND","Not detected","Detected")</x:f>
        <x:v>Not detected</x:v>
      </x:c>
      <x:c r="L25" s="15" t="str">
        <x:f>IF(E25="ND","Not detected","Detected")</x:f>
        <x:v>Detected</x:v>
      </x:c>
    </x:row>
    <x:row r="26" ht="20" customHeight="1">
      <x:c r="A26" s="13" t="str">
        <x:v>hsa_circ_0035654</x:v>
      </x:c>
      <x:c r="B26" s="13" t="n">
        <x:v>1</x:v>
      </x:c>
      <x:c r="C26" s="14" t="n">
        <x:f>IF(COUNT('Raw_Ct'!D50:F50)=0,"ND",AVERAGE('Raw_Ct'!D50:F50))</x:f>
        <x:v>23.6261</x:v>
      </x:c>
      <x:c r="D26" s="14" t="n">
        <x:f>AVERAGE('Raw_Ct'!G50:I50)</x:f>
        <x:v>19.0853</x:v>
      </x:c>
      <x:c r="E26" s="14" t="n">
        <x:f>IF(COUNT('Raw_Ct'!D53:F53)=0,"ND",AVERAGE('Raw_Ct'!D53:F53))</x:f>
        <x:v>28.111100000000004</x:v>
      </x:c>
      <x:c r="F26" s="14" t="n">
        <x:f>AVERAGE('Raw_Ct'!G53:I53)</x:f>
        <x:v>26.124633333333332</x:v>
      </x:c>
      <x:c r="G26" s="14" t="n">
        <x:f>IF(C26="ND","ND",C26-D26)</x:f>
        <x:v>4.540800000000001</x:v>
      </x:c>
      <x:c r="H26" s="14" t="n">
        <x:f>IF(E26="ND","ND",E26-F26)</x:f>
        <x:v>1.9864666666666722</x:v>
      </x:c>
      <x:c r="I26" s="14" t="n">
        <x:f>IF(OR(G26="ND",H26="ND"),"ND",H26-G26)</x:f>
        <x:v>-2.5543333333333287</x:v>
      </x:c>
      <x:c r="J26" s="14" t="n">
        <x:f>IF(I26="ND","ND",-I26)</x:f>
        <x:v>2.5543333333333287</x:v>
      </x:c>
      <x:c r="K26" s="15" t="str">
        <x:f>IF(C26="ND","Not detected","Detected")</x:f>
        <x:v>Detected</x:v>
      </x:c>
      <x:c r="L26" s="15" t="str">
        <x:f>IF(E26="ND","Not detected","Detected")</x:f>
        <x:v>Detected</x:v>
      </x:c>
    </x:row>
    <x:row r="27" ht="20" customHeight="1">
      <x:c r="A27" s="13" t="str">
        <x:v>hsa_circ_0035654</x:v>
      </x:c>
      <x:c r="B27" s="13" t="n">
        <x:v>2</x:v>
      </x:c>
      <x:c r="C27" s="14" t="n">
        <x:f>IF(COUNT('Raw_Ct'!D51:F51)=0,"ND",AVERAGE('Raw_Ct'!D51:F51))</x:f>
        <x:v>27.639200000000002</x:v>
      </x:c>
      <x:c r="D27" s="14" t="n">
        <x:f>AVERAGE('Raw_Ct'!G51:I51)</x:f>
        <x:v>19.067033333333335</x:v>
      </x:c>
      <x:c r="E27" s="14" t="n">
        <x:f>IF(COUNT('Raw_Ct'!D54:F54)=0,"ND",AVERAGE('Raw_Ct'!D54:F54))</x:f>
        <x:v>28.14933333333333</x:v>
      </x:c>
      <x:c r="F27" s="14" t="n">
        <x:f>AVERAGE('Raw_Ct'!G54:I54)</x:f>
        <x:v>26.064166666666665</x:v>
      </x:c>
      <x:c r="G27" s="14" t="n">
        <x:f>IF(C27="ND","ND",C27-D27)</x:f>
        <x:v>8.572166666666668</x:v>
      </x:c>
      <x:c r="H27" s="14" t="n">
        <x:f>IF(E27="ND","ND",E27-F27)</x:f>
        <x:v>2.085166666666666</x:v>
      </x:c>
      <x:c r="I27" s="14" t="n">
        <x:f>IF(OR(G27="ND",H27="ND"),"ND",H27-G27)</x:f>
        <x:v>-6.487000000000002</x:v>
      </x:c>
      <x:c r="J27" s="14" t="n">
        <x:f>IF(I27="ND","ND",-I27)</x:f>
        <x:v>6.487000000000002</x:v>
      </x:c>
      <x:c r="K27" s="15" t="str">
        <x:f>IF(C27="ND","Not detected","Detected")</x:f>
        <x:v>Detected</x:v>
      </x:c>
      <x:c r="L27" s="15" t="str">
        <x:f>IF(E27="ND","Not detected","Detected")</x:f>
        <x:v>Detected</x:v>
      </x:c>
    </x:row>
    <x:row r="28" ht="20" customHeight="1">
      <x:c r="A28" s="13" t="str">
        <x:v>hsa_circ_0035654</x:v>
      </x:c>
      <x:c r="B28" s="13" t="n">
        <x:v>3</x:v>
      </x:c>
      <x:c r="C28" s="14" t="n">
        <x:f>IF(COUNT('Raw_Ct'!D52:F52)=0,"ND",AVERAGE('Raw_Ct'!D52:F52))</x:f>
        <x:v>31.52973333333333</x:v>
      </x:c>
      <x:c r="D28" s="14" t="n">
        <x:f>AVERAGE('Raw_Ct'!G52:I52)</x:f>
        <x:v>19.04083333333333</x:v>
      </x:c>
      <x:c r="E28" s="14" t="n">
        <x:f>IF(COUNT('Raw_Ct'!D55:F55)=0,"ND",AVERAGE('Raw_Ct'!D55:F55))</x:f>
        <x:v>28.3497</x:v>
      </x:c>
      <x:c r="F28" s="14" t="n">
        <x:f>AVERAGE('Raw_Ct'!G55:I55)</x:f>
        <x:v>26.077866666666665</x:v>
      </x:c>
      <x:c r="G28" s="14" t="n">
        <x:f>IF(C28="ND","ND",C28-D28)</x:f>
        <x:v>12.488899999999997</x:v>
      </x:c>
      <x:c r="H28" s="14" t="n">
        <x:f>IF(E28="ND","ND",E28-F28)</x:f>
        <x:v>2.2718333333333334</x:v>
      </x:c>
      <x:c r="I28" s="14" t="n">
        <x:f>IF(OR(G28="ND",H28="ND"),"ND",H28-G28)</x:f>
        <x:v>-10.217066666666664</x:v>
      </x:c>
      <x:c r="J28" s="14" t="n">
        <x:f>IF(I28="ND","ND",-I28)</x:f>
        <x:v>10.217066666666664</x:v>
      </x:c>
      <x:c r="K28" s="15" t="str">
        <x:f>IF(C28="ND","Not detected","Detected")</x:f>
        <x:v>Detected</x:v>
      </x:c>
      <x:c r="L28" s="15" t="str">
        <x:f>IF(E28="ND","Not detected","Detected")</x:f>
        <x:v>Detected</x:v>
      </x:c>
    </x:row>
    <x:row r="29" ht="20" customHeight="1">
      <x:c r="A29" s="13" t="str">
        <x:v>hsa_circ_0001776</x:v>
      </x:c>
      <x:c r="B29" s="13" t="n">
        <x:v>1</x:v>
      </x:c>
      <x:c r="C29" s="14" t="n">
        <x:f>IF(COUNT('Raw_Ct'!D56:F56)=0,"ND",AVERAGE('Raw_Ct'!D56:F56))</x:f>
        <x:v>34.0479</x:v>
      </x:c>
      <x:c r="D29" s="14" t="n">
        <x:f>AVERAGE('Raw_Ct'!G56:I56)</x:f>
        <x:v>19.0853</x:v>
      </x:c>
      <x:c r="E29" s="14" t="n">
        <x:f>IF(COUNT('Raw_Ct'!D59:F59)=0,"ND",AVERAGE('Raw_Ct'!D59:F59))</x:f>
        <x:v>30.566399999999998</x:v>
      </x:c>
      <x:c r="F29" s="14" t="n">
        <x:f>AVERAGE('Raw_Ct'!G59:I59)</x:f>
        <x:v>26.124633333333332</x:v>
      </x:c>
      <x:c r="G29" s="14" t="n">
        <x:f>IF(C29="ND","ND",C29-D29)</x:f>
        <x:v>14.962599999999998</x:v>
      </x:c>
      <x:c r="H29" s="14" t="n">
        <x:f>IF(E29="ND","ND",E29-F29)</x:f>
        <x:v>4.441766666666666</x:v>
      </x:c>
      <x:c r="I29" s="14" t="n">
        <x:f>IF(OR(G29="ND",H29="ND"),"ND",H29-G29)</x:f>
        <x:v>-10.520833333333332</x:v>
      </x:c>
      <x:c r="J29" s="14" t="n">
        <x:f>IF(I29="ND","ND",-I29)</x:f>
        <x:v>10.520833333333332</x:v>
      </x:c>
      <x:c r="K29" s="15" t="str">
        <x:f>IF(C29="ND","Not detected","Detected")</x:f>
        <x:v>Detected</x:v>
      </x:c>
      <x:c r="L29" s="15" t="str">
        <x:f>IF(E29="ND","Not detected","Detected")</x:f>
        <x:v>Detected</x:v>
      </x:c>
    </x:row>
    <x:row r="30" ht="20" customHeight="1">
      <x:c r="A30" s="13" t="str">
        <x:v>hsa_circ_0001776</x:v>
      </x:c>
      <x:c r="B30" s="13" t="n">
        <x:v>2</x:v>
      </x:c>
      <x:c r="C30" s="14" t="n">
        <x:f>IF(COUNT('Raw_Ct'!D57:F57)=0,"ND",AVERAGE('Raw_Ct'!D57:F57))</x:f>
        <x:v>32.933</x:v>
      </x:c>
      <x:c r="D30" s="14" t="n">
        <x:f>AVERAGE('Raw_Ct'!G57:I57)</x:f>
        <x:v>19.067033333333335</x:v>
      </x:c>
      <x:c r="E30" s="14" t="n">
        <x:f>IF(COUNT('Raw_Ct'!D60:F60)=0,"ND",AVERAGE('Raw_Ct'!D60:F60))</x:f>
        <x:v>30.2289</x:v>
      </x:c>
      <x:c r="F30" s="14" t="n">
        <x:f>AVERAGE('Raw_Ct'!G60:I60)</x:f>
        <x:v>26.064166666666665</x:v>
      </x:c>
      <x:c r="G30" s="14" t="n">
        <x:f>IF(C30="ND","ND",C30-D30)</x:f>
        <x:v>13.865966666666665</x:v>
      </x:c>
      <x:c r="H30" s="14" t="n">
        <x:f>IF(E30="ND","ND",E30-F30)</x:f>
        <x:v>4.164733333333334</x:v>
      </x:c>
      <x:c r="I30" s="14" t="n">
        <x:f>IF(OR(G30="ND",H30="ND"),"ND",H30-G30)</x:f>
        <x:v>-9.701233333333331</x:v>
      </x:c>
      <x:c r="J30" s="14" t="n">
        <x:f>IF(I30="ND","ND",-I30)</x:f>
        <x:v>9.701233333333331</x:v>
      </x:c>
      <x:c r="K30" s="15" t="str">
        <x:f>IF(C30="ND","Not detected","Detected")</x:f>
        <x:v>Detected</x:v>
      </x:c>
      <x:c r="L30" s="15" t="str">
        <x:f>IF(E30="ND","Not detected","Detected")</x:f>
        <x:v>Detected</x:v>
      </x:c>
    </x:row>
    <x:row r="31" ht="20" customHeight="1">
      <x:c r="A31" s="13" t="str">
        <x:v>hsa_circ_0001776</x:v>
      </x:c>
      <x:c r="B31" s="13" t="n">
        <x:v>3</x:v>
      </x:c>
      <x:c r="C31" s="14" t="n">
        <x:f>IF(COUNT('Raw_Ct'!D58:F58)=0,"ND",AVERAGE('Raw_Ct'!D58:F58))</x:f>
        <x:v>32.64073333333334</x:v>
      </x:c>
      <x:c r="D31" s="14" t="n">
        <x:f>AVERAGE('Raw_Ct'!G58:I58)</x:f>
        <x:v>19.04083333333333</x:v>
      </x:c>
      <x:c r="E31" s="14" t="n">
        <x:f>IF(COUNT('Raw_Ct'!D61:F61)=0,"ND",AVERAGE('Raw_Ct'!D61:F61))</x:f>
        <x:v>30.316433333333332</x:v>
      </x:c>
      <x:c r="F31" s="14" t="n">
        <x:f>AVERAGE('Raw_Ct'!G61:I61)</x:f>
        <x:v>26.077866666666665</x:v>
      </x:c>
      <x:c r="G31" s="14" t="n">
        <x:f>IF(C31="ND","ND",C31-D31)</x:f>
        <x:v>13.599900000000005</x:v>
      </x:c>
      <x:c r="H31" s="14" t="n">
        <x:f>IF(E31="ND","ND",E31-F31)</x:f>
        <x:v>4.238566666666667</x:v>
      </x:c>
      <x:c r="I31" s="14" t="n">
        <x:f>IF(OR(G31="ND",H31="ND"),"ND",H31-G31)</x:f>
        <x:v>-9.361333333333338</x:v>
      </x:c>
      <x:c r="J31" s="14" t="n">
        <x:f>IF(I31="ND","ND",-I31)</x:f>
        <x:v>9.361333333333338</x:v>
      </x:c>
      <x:c r="K31" s="15" t="str">
        <x:f>IF(C31="ND","Not detected","Detected")</x:f>
        <x:v>Detected</x:v>
      </x:c>
      <x:c r="L31" s="15" t="str">
        <x:f>IF(E31="ND","Not detected","Detected")</x:f>
        <x:v>Detected</x:v>
      </x:c>
    </x:row>
    <x:row r="32" ht="20" customHeight="1">
      <x:c r="A32" s="13" t="str">
        <x:v>hsa_circ_0001222</x:v>
      </x:c>
      <x:c r="B32" s="13" t="n">
        <x:v>1</x:v>
      </x:c>
      <x:c r="C32" s="14" t="n">
        <x:f>IF(COUNT('Raw_Ct'!D62:F62)=0,"ND",AVERAGE('Raw_Ct'!D62:F62))</x:f>
        <x:v>33.5146</x:v>
      </x:c>
      <x:c r="D32" s="14" t="n">
        <x:f>AVERAGE('Raw_Ct'!G62:I62)</x:f>
        <x:v>19.0853</x:v>
      </x:c>
      <x:c r="E32" s="14" t="n">
        <x:f>IF(COUNT('Raw_Ct'!D65:F65)=0,"ND",AVERAGE('Raw_Ct'!D65:F65))</x:f>
        <x:v>27.2683</x:v>
      </x:c>
      <x:c r="F32" s="14" t="n">
        <x:f>AVERAGE('Raw_Ct'!G65:I65)</x:f>
        <x:v>26.124633333333332</x:v>
      </x:c>
      <x:c r="G32" s="14" t="n">
        <x:f>IF(C32="ND","ND",C32-D32)</x:f>
        <x:v>14.429300000000001</x:v>
      </x:c>
      <x:c r="H32" s="14" t="n">
        <x:f>IF(E32="ND","ND",E32-F32)</x:f>
        <x:v>1.1436666666666682</x:v>
      </x:c>
      <x:c r="I32" s="14" t="n">
        <x:f>IF(OR(G32="ND",H32="ND"),"ND",H32-G32)</x:f>
        <x:v>-13.285633333333333</x:v>
      </x:c>
      <x:c r="J32" s="14" t="n">
        <x:f>IF(I32="ND","ND",-I32)</x:f>
        <x:v>13.285633333333333</x:v>
      </x:c>
      <x:c r="K32" s="15" t="str">
        <x:f>IF(C32="ND","Not detected","Detected")</x:f>
        <x:v>Detected</x:v>
      </x:c>
      <x:c r="L32" s="15" t="str">
        <x:f>IF(E32="ND","Not detected","Detected")</x:f>
        <x:v>Detected</x:v>
      </x:c>
    </x:row>
    <x:row r="33" ht="20" customHeight="1">
      <x:c r="A33" s="13" t="str">
        <x:v>hsa_circ_0001222</x:v>
      </x:c>
      <x:c r="B33" s="13" t="n">
        <x:v>2</x:v>
      </x:c>
      <x:c r="C33" s="14" t="str">
        <x:f>IF(COUNT('Raw_Ct'!D63:F63)=0,"ND",AVERAGE('Raw_Ct'!D63:F63))</x:f>
        <x:v>ND</x:v>
      </x:c>
      <x:c r="D33" s="14" t="n">
        <x:f>AVERAGE('Raw_Ct'!G63:I63)</x:f>
        <x:v>19.067033333333335</x:v>
      </x:c>
      <x:c r="E33" s="14" t="n">
        <x:f>IF(COUNT('Raw_Ct'!D66:F66)=0,"ND",AVERAGE('Raw_Ct'!D66:F66))</x:f>
        <x:v>27.160899999999998</x:v>
      </x:c>
      <x:c r="F33" s="14" t="n">
        <x:f>AVERAGE('Raw_Ct'!G66:I66)</x:f>
        <x:v>26.064166666666665</x:v>
      </x:c>
      <x:c r="G33" s="14" t="str">
        <x:f>IF(C33="ND","ND",C33-D33)</x:f>
        <x:v>ND</x:v>
      </x:c>
      <x:c r="H33" s="14" t="n">
        <x:f>IF(E33="ND","ND",E33-F33)</x:f>
        <x:v>1.096733333333333</x:v>
      </x:c>
      <x:c r="I33" s="14" t="str">
        <x:f>IF(OR(G33="ND",H33="ND"),"ND",H33-G33)</x:f>
        <x:v>ND</x:v>
      </x:c>
      <x:c r="J33" s="14" t="str">
        <x:f>IF(I33="ND","ND",-I33)</x:f>
        <x:v>ND</x:v>
      </x:c>
      <x:c r="K33" s="15" t="str">
        <x:f>IF(C33="ND","Not detected","Detected")</x:f>
        <x:v>Not detected</x:v>
      </x:c>
      <x:c r="L33" s="15" t="str">
        <x:f>IF(E33="ND","Not detected","Detected")</x:f>
        <x:v>Detected</x:v>
      </x:c>
    </x:row>
    <x:row r="34" ht="20" customHeight="1">
      <x:c r="A34" s="13" t="str">
        <x:v>hsa_circ_0001222</x:v>
      </x:c>
      <x:c r="B34" s="13" t="n">
        <x:v>3</x:v>
      </x:c>
      <x:c r="C34" s="14" t="n">
        <x:f>IF(COUNT('Raw_Ct'!D64:F64)=0,"ND",AVERAGE('Raw_Ct'!D64:F64))</x:f>
        <x:v>33.54376666666667</x:v>
      </x:c>
      <x:c r="D34" s="14" t="n">
        <x:f>AVERAGE('Raw_Ct'!G64:I64)</x:f>
        <x:v>19.04083333333333</x:v>
      </x:c>
      <x:c r="E34" s="14" t="n">
        <x:f>IF(COUNT('Raw_Ct'!D67:F67)=0,"ND",AVERAGE('Raw_Ct'!D67:F67))</x:f>
        <x:v>27.09466666666667</x:v>
      </x:c>
      <x:c r="F34" s="14" t="n">
        <x:f>AVERAGE('Raw_Ct'!G67:I67)</x:f>
        <x:v>26.077866666666665</x:v>
      </x:c>
      <x:c r="G34" s="14" t="n">
        <x:f>IF(C34="ND","ND",C34-D34)</x:f>
        <x:v>14.502933333333338</x:v>
      </x:c>
      <x:c r="H34" s="14" t="n">
        <x:f>IF(E34="ND","ND",E34-F34)</x:f>
        <x:v>1.0168000000000035</x:v>
      </x:c>
      <x:c r="I34" s="14" t="n">
        <x:f>IF(OR(G34="ND",H34="ND"),"ND",H34-G34)</x:f>
        <x:v>-13.486133333333335</x:v>
      </x:c>
      <x:c r="J34" s="14" t="n">
        <x:f>IF(I34="ND","ND",-I34)</x:f>
        <x:v>13.486133333333335</x:v>
      </x:c>
      <x:c r="K34" s="15" t="str">
        <x:f>IF(C34="ND","Not detected","Detected")</x:f>
        <x:v>Detected</x:v>
      </x:c>
      <x:c r="L34" s="15" t="str">
        <x:f>IF(E34="ND","Not detected","Detected")</x:f>
        <x:v>Detected</x:v>
      </x:c>
    </x:row>
    <x:row r="35" ht="20" customHeight="1">
      <x:c r="A35" s="13" t="str">
        <x:v>hsa_circ_0005224</x:v>
      </x:c>
      <x:c r="B35" s="13" t="n">
        <x:v>1</x:v>
      </x:c>
      <x:c r="C35" s="14" t="n">
        <x:f>IF(COUNT('Raw_Ct'!D68:F68)=0,"ND",AVERAGE('Raw_Ct'!D68:F68))</x:f>
        <x:v>34.1777</x:v>
      </x:c>
      <x:c r="D35" s="14" t="n">
        <x:f>AVERAGE('Raw_Ct'!G68:I68)</x:f>
        <x:v>19.0853</x:v>
      </x:c>
      <x:c r="E35" s="14" t="n">
        <x:f>IF(COUNT('Raw_Ct'!D71:F71)=0,"ND",AVERAGE('Raw_Ct'!D71:F71))</x:f>
        <x:v>32.98665</x:v>
      </x:c>
      <x:c r="F35" s="14" t="n">
        <x:f>AVERAGE('Raw_Ct'!G71:I71)</x:f>
        <x:v>26.124633333333332</x:v>
      </x:c>
      <x:c r="G35" s="14" t="n">
        <x:f>IF(C35="ND","ND",C35-D35)</x:f>
        <x:v>15.092400000000001</x:v>
      </x:c>
      <x:c r="H35" s="14" t="n">
        <x:f>IF(E35="ND","ND",E35-F35)</x:f>
        <x:v>6.8620166666666655</x:v>
      </x:c>
      <x:c r="I35" s="14" t="n">
        <x:f>IF(OR(G35="ND",H35="ND"),"ND",H35-G35)</x:f>
        <x:v>-8.230383333333336</x:v>
      </x:c>
      <x:c r="J35" s="14" t="n">
        <x:f>IF(I35="ND","ND",-I35)</x:f>
        <x:v>8.230383333333336</x:v>
      </x:c>
      <x:c r="K35" s="15" t="str">
        <x:f>IF(C35="ND","Not detected","Detected")</x:f>
        <x:v>Detected</x:v>
      </x:c>
      <x:c r="L35" s="15" t="str">
        <x:f>IF(E35="ND","Not detected","Detected")</x:f>
        <x:v>Detected</x:v>
      </x:c>
    </x:row>
    <x:row r="36" ht="20" customHeight="1">
      <x:c r="A36" s="13" t="str">
        <x:v>hsa_circ_0005224</x:v>
      </x:c>
      <x:c r="B36" s="13" t="n">
        <x:v>2</x:v>
      </x:c>
      <x:c r="C36" s="14" t="n">
        <x:f>IF(COUNT('Raw_Ct'!D69:F69)=0,"ND",AVERAGE('Raw_Ct'!D69:F69))</x:f>
        <x:v>33.929</x:v>
      </x:c>
      <x:c r="D36" s="14" t="n">
        <x:f>AVERAGE('Raw_Ct'!G69:I69)</x:f>
        <x:v>19.067033333333335</x:v>
      </x:c>
      <x:c r="E36" s="14" t="n">
        <x:f>IF(COUNT('Raw_Ct'!D72:F72)=0,"ND",AVERAGE('Raw_Ct'!D72:F72))</x:f>
        <x:v>32.6412</x:v>
      </x:c>
      <x:c r="F36" s="14" t="n">
        <x:f>AVERAGE('Raw_Ct'!G72:I72)</x:f>
        <x:v>26.064166666666665</x:v>
      </x:c>
      <x:c r="G36" s="14" t="n">
        <x:f>IF(C36="ND","ND",C36-D36)</x:f>
        <x:v>14.861966666666667</x:v>
      </x:c>
      <x:c r="H36" s="14" t="n">
        <x:f>IF(E36="ND","ND",E36-F36)</x:f>
        <x:v>6.577033333333333</x:v>
      </x:c>
      <x:c r="I36" s="14" t="n">
        <x:f>IF(OR(G36="ND",H36="ND"),"ND",H36-G36)</x:f>
        <x:v>-8.284933333333335</x:v>
      </x:c>
      <x:c r="J36" s="14" t="n">
        <x:f>IF(I36="ND","ND",-I36)</x:f>
        <x:v>8.284933333333335</x:v>
      </x:c>
      <x:c r="K36" s="15" t="str">
        <x:f>IF(C36="ND","Not detected","Detected")</x:f>
        <x:v>Detected</x:v>
      </x:c>
      <x:c r="L36" s="15" t="str">
        <x:f>IF(E36="ND","Not detected","Detected")</x:f>
        <x:v>Detected</x:v>
      </x:c>
    </x:row>
    <x:row r="37" ht="20" customHeight="1">
      <x:c r="A37" s="13" t="str">
        <x:v>hsa_circ_0005224</x:v>
      </x:c>
      <x:c r="B37" s="13" t="n">
        <x:v>3</x:v>
      </x:c>
      <x:c r="C37" s="14" t="str">
        <x:f>IF(COUNT('Raw_Ct'!D70:F70)=0,"ND",AVERAGE('Raw_Ct'!D70:F70))</x:f>
        <x:v>ND</x:v>
      </x:c>
      <x:c r="D37" s="14" t="n">
        <x:f>AVERAGE('Raw_Ct'!G70:I70)</x:f>
        <x:v>19.04083333333333</x:v>
      </x:c>
      <x:c r="E37" s="14" t="n">
        <x:f>IF(COUNT('Raw_Ct'!D73:F73)=0,"ND",AVERAGE('Raw_Ct'!D73:F73))</x:f>
        <x:v>32.10736666666667</x:v>
      </x:c>
      <x:c r="F37" s="14" t="n">
        <x:f>AVERAGE('Raw_Ct'!G73:I73)</x:f>
        <x:v>26.077866666666665</x:v>
      </x:c>
      <x:c r="G37" s="14" t="str">
        <x:f>IF(C37="ND","ND",C37-D37)</x:f>
        <x:v>ND</x:v>
      </x:c>
      <x:c r="H37" s="14" t="n">
        <x:f>IF(E37="ND","ND",E37-F37)</x:f>
        <x:v>6.029500000000006</x:v>
      </x:c>
      <x:c r="I37" s="14" t="str">
        <x:f>IF(OR(G37="ND",H37="ND"),"ND",H37-G37)</x:f>
        <x:v>ND</x:v>
      </x:c>
      <x:c r="J37" s="14" t="str">
        <x:f>IF(I37="ND","ND",-I37)</x:f>
        <x:v>ND</x:v>
      </x:c>
      <x:c r="K37" s="15" t="str">
        <x:f>IF(C37="ND","Not detected","Detected")</x:f>
        <x:v>Not detected</x:v>
      </x:c>
      <x:c r="L37" s="15" t="str">
        <x:f>IF(E37="ND","Not detected","Detected")</x:f>
        <x:v>Detected</x:v>
      </x:c>
    </x:row>
  </x:sheetData>
  <x:conditionalFormatting sqref="K2:L37">
    <x:cfRule type="containsText" dxfId="1" priority="1" operator="containsText" text="Not detected"/>
  </x:conditionalFormatting>
  <x:pageMargins left="0.7" right="0.7" top="0.75" bottom="0.75" header="0.3" footer="0.3"/>
  <x:tableParts count="1">
    <x:tablePart xmlns:r="http://schemas.openxmlformats.org/officeDocument/2006/relationships" r:id="R77b1f617898144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>
      <x:c r="A1" s="26" t="str">
        <x:v>Supplemental Table S2</x:v>
      </x:c>
      <x:c r="B1" s="27" t="str">
        <x:v>Raw Ct values and processed biological-replicate summaries</x:v>
      </x:c>
    </x:row>
    <x:row r="2">
      <x:c r="A2" s="22" t="str">
        <x:v>Source document</x:v>
      </x:c>
      <x:c r="B2" s="23" t="str">
        <x:v>2nd_Supplemental_Materials_tracking.docx</x:v>
      </x:c>
    </x:row>
    <x:row r="3">
      <x:c r="A3" s="22" t="str">
        <x:v>Raw data sheet</x:v>
      </x:c>
      <x:c r="B3" s="23" t="str">
        <x:v>Raw_Ct</x:v>
      </x:c>
    </x:row>
    <x:row r="4">
      <x:c r="A4" s="22" t="str">
        <x:v>Processed data sheet</x:v>
      </x:c>
      <x:c r="B4" s="23" t="str">
        <x:v>Processed_Summary</x:v>
      </x:c>
    </x:row>
    <x:row r="5">
      <x:c r="A5" s="22" t="str">
        <x:v>Raw-data structure</x:v>
      </x:c>
      <x:c r="B5" s="23" t="str">
        <x:v>One target × sample/compartment × biological replicate per row; three target Ct and three reference Ct technical replicates.</x:v>
      </x:c>
    </x:row>
    <x:row r="6">
      <x:c r="A6" s="22" t="str">
        <x:v>ND definition</x:v>
      </x:c>
      <x:c r="B6" s="23" t="str">
        <x:v>ND indicates no amplification signal (Ct = 0) in the raw service report.</x:v>
      </x:c>
    </x:row>
    <x:row r="7">
      <x:c r="A7" s="22" t="str">
        <x:v>Cellular reference</x:v>
      </x:c>
      <x:c r="B7" s="23" t="str">
        <x:v>GAPDH</x:v>
      </x:c>
    </x:row>
    <x:row r="8">
      <x:c r="A8" s="22" t="str">
        <x:v>EV reference</x:v>
      </x:c>
      <x:c r="B8" s="23" t="str">
        <x:v>hsa-miR-16-5p</x:v>
      </x:c>
    </x:row>
    <x:row r="9">
      <x:c r="A9" s="22" t="str">
        <x:v>Mean target Ct</x:v>
      </x:c>
      <x:c r="B9" s="23" t="str">
        <x:v>Mean of valid numeric technical-replicate target Ct values; ND when all target replicates are non-detected.</x:v>
      </x:c>
    </x:row>
    <x:row r="10">
      <x:c r="A10" s="22" t="str">
        <x:v>Mean reference Ct</x:v>
      </x:c>
      <x:c r="B10" s="23" t="str">
        <x:v>Mean of the three corresponding reference-gene Ct values.</x:v>
      </x:c>
    </x:row>
    <x:row r="11">
      <x:c r="A11" s="22" t="str">
        <x:v>ΔCt</x:v>
      </x:c>
      <x:c r="B11" s="23" t="str">
        <x:v>Ct_target − Ct_reference within each compartment.</x:v>
      </x:c>
    </x:row>
    <x:row r="12">
      <x:c r="A12" s="22" t="str">
        <x:v>ΔΔCt</x:v>
      </x:c>
      <x:c r="B12" s="23" t="str">
        <x:v>ΔCt_EV − ΔCt_cellular for matched biological-replicate pairs.</x:v>
      </x:c>
    </x:row>
    <x:row r="13">
      <x:c r="A13" s="22" t="str">
        <x:v>log₂(EVs/Cellular)</x:v>
      </x:c>
      <x:c r="B13" s="23" t="str">
        <x:v>−ΔΔCt; larger values indicate stronger relative EV enrichment after compartment-specific normalization.</x:v>
      </x:c>
    </x:row>
    <x:row r="14">
      <x:c r="A14" s="22" t="str">
        <x:v>Calculation note</x:v>
      </x:c>
      <x:c r="B14" s="23" t="str">
        <x:v>Processed_Summary cells are formula-linked to Raw_Ct so values remain auditable if raw Ct values are edited.</x:v>
      </x:c>
    </x:row>
    <x:row r="15">
      <x:c r="A15" s="17"/>
    </x:row>
    <x:row r="16">
      <x:c r="A16" s="17"/>
    </x:row>
    <x:row r="17">
      <x:c r="A17" s="17"/>
    </x:row>
    <x:row r="18">
      <x:c r="A18" s="17"/>
    </x:row>
    <x:row r="19">
      <x:c r="A19" s="17"/>
    </x:row>
    <x:row r="20">
      <x:c r="A20" s="17"/>
    </x:row>
  </x:sheetData>
  <x:pageMargins left="0.7" right="0.7" top="0.75" bottom="0.75" header="0.3" footer="0.3"/>
</x:worksheet>
</file>